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suzuki\Documents\2026_07\idsp\py-xlsx2csvzip\"/>
    </mc:Choice>
  </mc:AlternateContent>
  <xr:revisionPtr revIDLastSave="0" documentId="13_ncr:1_{2A9F2CDF-7FFD-4D92-8816-FF871569D082}" xr6:coauthVersionLast="47" xr6:coauthVersionMax="47" xr10:uidLastSave="{00000000-0000-0000-0000-000000000000}"/>
  <bookViews>
    <workbookView xWindow="-103" yWindow="-103" windowWidth="16663" windowHeight="10457" xr2:uid="{0B51DB95-DE0A-4368-A128-8BD6C00EEC6B}"/>
  </bookViews>
  <sheets>
    <sheet name="ruiseki" sheetId="1" r:id="rId1"/>
    <sheet name="tmp" sheetId="2" r:id="rId2"/>
    <sheet name="con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45" i="1" l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4" i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3" i="1"/>
  <c r="I2" i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3" i="1"/>
  <c r="H2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3" i="1"/>
  <c r="E2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<sst xmlns="http://schemas.openxmlformats.org/spreadsheetml/2006/main" count="54" uniqueCount="28">
  <si>
    <t>半減期(時間)</t>
    <rPh sb="0" eb="3">
      <t>ハンゲンキ</t>
    </rPh>
    <rPh sb="4" eb="6">
      <t>ジカン</t>
    </rPh>
    <phoneticPr fontId="1"/>
  </si>
  <si>
    <t>1時間後減少率</t>
    <rPh sb="1" eb="4">
      <t>ジカンゴ</t>
    </rPh>
    <rPh sb="4" eb="7">
      <t>ゲンショウリツ</t>
    </rPh>
    <phoneticPr fontId="1"/>
  </si>
  <si>
    <t>2時間後減少率</t>
    <rPh sb="1" eb="4">
      <t>ジカンゴ</t>
    </rPh>
    <rPh sb="4" eb="7">
      <t>ゲンショウリツ</t>
    </rPh>
    <phoneticPr fontId="1"/>
  </si>
  <si>
    <t>10分後減少率</t>
    <rPh sb="2" eb="4">
      <t>フンゴ</t>
    </rPh>
    <rPh sb="4" eb="7">
      <t>ゲンショウリツ</t>
    </rPh>
    <phoneticPr fontId="1"/>
  </si>
  <si>
    <t>20分後減少率</t>
    <rPh sb="2" eb="4">
      <t>フンゴ</t>
    </rPh>
    <rPh sb="4" eb="7">
      <t>ゲンショウリツ</t>
    </rPh>
    <phoneticPr fontId="1"/>
  </si>
  <si>
    <t>30分後減少率</t>
    <rPh sb="2" eb="4">
      <t>フンゴ</t>
    </rPh>
    <rPh sb="4" eb="7">
      <t>ゲンショウリツ</t>
    </rPh>
    <phoneticPr fontId="1"/>
  </si>
  <si>
    <t>40分後減少率</t>
    <rPh sb="2" eb="4">
      <t>フンゴ</t>
    </rPh>
    <rPh sb="4" eb="7">
      <t>ゲンショウリツ</t>
    </rPh>
    <phoneticPr fontId="1"/>
  </si>
  <si>
    <t>50分後減少率</t>
    <rPh sb="2" eb="4">
      <t>フンゴ</t>
    </rPh>
    <rPh sb="4" eb="7">
      <t>ゲンショウリツ</t>
    </rPh>
    <phoneticPr fontId="1"/>
  </si>
  <si>
    <t>60分後減少率</t>
    <rPh sb="2" eb="4">
      <t>フンゴ</t>
    </rPh>
    <rPh sb="4" eb="7">
      <t>ゲンショウリツ</t>
    </rPh>
    <phoneticPr fontId="1"/>
  </si>
  <si>
    <t>70分後減少率</t>
    <rPh sb="2" eb="4">
      <t>フンゴ</t>
    </rPh>
    <rPh sb="4" eb="7">
      <t>ゲンショウリツ</t>
    </rPh>
    <phoneticPr fontId="1"/>
  </si>
  <si>
    <t>80分後減少率</t>
    <rPh sb="2" eb="4">
      <t>フンゴ</t>
    </rPh>
    <rPh sb="4" eb="7">
      <t>ゲンショウリツ</t>
    </rPh>
    <phoneticPr fontId="1"/>
  </si>
  <si>
    <t>90分後減少率</t>
    <rPh sb="2" eb="4">
      <t>フンゴ</t>
    </rPh>
    <rPh sb="4" eb="7">
      <t>ゲンショウリツ</t>
    </rPh>
    <phoneticPr fontId="1"/>
  </si>
  <si>
    <t>時刻</t>
    <rPh sb="0" eb="2">
      <t>ジコク</t>
    </rPh>
    <phoneticPr fontId="1"/>
  </si>
  <si>
    <t>経過時間(分)</t>
    <rPh sb="0" eb="2">
      <t>ケイカ</t>
    </rPh>
    <rPh sb="2" eb="4">
      <t>ジカン</t>
    </rPh>
    <rPh sb="5" eb="6">
      <t>フン</t>
    </rPh>
    <phoneticPr fontId="1"/>
  </si>
  <si>
    <t>計測値(mm)</t>
    <rPh sb="0" eb="3">
      <t>ケイソクチ</t>
    </rPh>
    <phoneticPr fontId="1"/>
  </si>
  <si>
    <t>10分雨量(mm)</t>
    <rPh sb="2" eb="3">
      <t>フン</t>
    </rPh>
    <rPh sb="3" eb="5">
      <t>ウリョウ</t>
    </rPh>
    <phoneticPr fontId="1"/>
  </si>
  <si>
    <t>単純累計(mm)</t>
    <rPh sb="0" eb="2">
      <t>タンジュン</t>
    </rPh>
    <rPh sb="2" eb="4">
      <t>ルイケイ</t>
    </rPh>
    <phoneticPr fontId="1"/>
  </si>
  <si>
    <t>60分平均(mm)</t>
    <rPh sb="2" eb="3">
      <t>フン</t>
    </rPh>
    <rPh sb="3" eb="5">
      <t>ヘイキン</t>
    </rPh>
    <phoneticPr fontId="1"/>
  </si>
  <si>
    <t>180分平均(mm)</t>
    <rPh sb="3" eb="4">
      <t>フン</t>
    </rPh>
    <rPh sb="4" eb="6">
      <t>ヘイキン</t>
    </rPh>
    <phoneticPr fontId="1"/>
  </si>
  <si>
    <t>半減期1.5時間雨量(mm)</t>
    <rPh sb="0" eb="3">
      <t>ハンゲンキ</t>
    </rPh>
    <rPh sb="6" eb="8">
      <t>ジカン</t>
    </rPh>
    <rPh sb="8" eb="10">
      <t>ウリョウ</t>
    </rPh>
    <phoneticPr fontId="1"/>
  </si>
  <si>
    <t>半減期72時間雨量(mm)</t>
    <rPh sb="0" eb="3">
      <t>ハンゲンキ</t>
    </rPh>
    <rPh sb="5" eb="7">
      <t>ジカン</t>
    </rPh>
    <rPh sb="7" eb="9">
      <t>ウリョウ</t>
    </rPh>
    <phoneticPr fontId="1"/>
  </si>
  <si>
    <t>表層水分過剰</t>
    <rPh sb="0" eb="2">
      <t>ヒョウソウ</t>
    </rPh>
    <rPh sb="2" eb="4">
      <t>スイブン</t>
    </rPh>
    <rPh sb="4" eb="6">
      <t>カジョウ</t>
    </rPh>
    <phoneticPr fontId="1"/>
  </si>
  <si>
    <t>深層水分過剰</t>
    <rPh sb="0" eb="3">
      <t>シンソウスイ</t>
    </rPh>
    <rPh sb="3" eb="4">
      <t>ブン</t>
    </rPh>
    <rPh sb="4" eb="6">
      <t>カジョウ</t>
    </rPh>
    <phoneticPr fontId="1"/>
  </si>
  <si>
    <t>推奨対応</t>
    <rPh sb="0" eb="2">
      <t>スイショウ</t>
    </rPh>
    <rPh sb="2" eb="4">
      <t>タイオウ</t>
    </rPh>
    <phoneticPr fontId="1"/>
  </si>
  <si>
    <t>東広島</t>
  </si>
  <si>
    <t>東広島市</t>
  </si>
  <si>
    <t>下三永</t>
  </si>
  <si>
    <t>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</si>
</sst>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22" fontId="0" fillId="0" borderId="0" xfId="0" applyNumberFormat="1">
      <alignment vertical="center"/>
    </xf>
    <xf numFmtId="176" fontId="0" fillId="0" borderId="0" xfId="0" applyNumberFormat="1" applyAlignment="1">
      <alignment vertical="center" wrapText="1"/>
    </xf>
    <xf numFmtId="176" fontId="0" fillId="0" borderId="0" xfId="0" applyNumberFormat="1">
      <alignment vertical="center"/>
    </xf>
    <xf numFmtId="0" fontId="3" fillId="0" borderId="1" xfId="1" applyFont="1" applyBorder="1" applyAlignment="1">
      <alignment horizontal="left" vertical="center" indent="1"/>
    </xf>
    <xf numFmtId="0" fontId="3" fillId="0" borderId="2" xfId="1" applyFont="1" applyBorder="1" applyAlignment="1">
      <alignment horizontal="left" vertical="center"/>
    </xf>
    <xf numFmtId="176" fontId="3" fillId="0" borderId="3" xfId="1" applyNumberFormat="1" applyFont="1" applyBorder="1" applyAlignment="1">
      <alignment horizontal="right" vertical="center"/>
    </xf>
    <xf numFmtId="176" fontId="3" fillId="0" borderId="2" xfId="1" applyNumberFormat="1" applyFont="1" applyBorder="1" applyAlignment="1">
      <alignment horizontal="right" vertical="center"/>
    </xf>
    <xf numFmtId="0" fontId="3" fillId="0" borderId="0" xfId="1" applyFont="1"/>
  </cellXfs>
  <cellStyles count="2">
    <cellStyle name="標準" xfId="0" builtinId="0"/>
    <cellStyle name="標準 2 2" xfId="1" xr:uid="{26823BD6-0CBC-40DB-8799-91CC8661F3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ja-JP">
                <a:solidFill>
                  <a:schemeClr val="tx1"/>
                </a:solidFill>
              </a:rPr>
              <a:t>2016/07/01</a:t>
            </a:r>
            <a:r>
              <a:rPr lang="ja-JP" altLang="en-US">
                <a:solidFill>
                  <a:schemeClr val="tx1"/>
                </a:solidFill>
              </a:rPr>
              <a:t>の雨量</a:t>
            </a:r>
            <a:r>
              <a:rPr lang="en-US" altLang="ja-JP">
                <a:solidFill>
                  <a:schemeClr val="tx1"/>
                </a:solidFill>
              </a:rPr>
              <a:t>(mm)</a:t>
            </a:r>
            <a:endParaRPr lang="ja-JP" alt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78937007874017"/>
          <c:y val="0.155902790732908"/>
          <c:w val="0.78232174103237095"/>
          <c:h val="0.66425616447494129"/>
        </c:manualLayout>
      </c:layout>
      <c:scatterChart>
        <c:scatterStyle val="lineMarker"/>
        <c:varyColors val="0"/>
        <c:ser>
          <c:idx val="1"/>
          <c:order val="0"/>
          <c:tx>
            <c:strRef>
              <c:f>ruiseki!$G$1</c:f>
              <c:strCache>
                <c:ptCount val="1"/>
                <c:pt idx="0">
                  <c:v>180分平均(mm)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ruiseki!$B$2:$B$16385</c:f>
              <c:numCache>
                <c:formatCode>General</c:formatCode>
                <c:ptCount val="14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</c:numCache>
            </c:numRef>
          </c:xVal>
          <c:yVal>
            <c:numRef>
              <c:f>ruiseki!$G$2:$G$16385</c:f>
              <c:numCache>
                <c:formatCode>0.0_ </c:formatCode>
                <c:ptCount val="1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2.7777777777777776E-2</c:v>
                </c:pt>
                <c:pt idx="58">
                  <c:v>8.3333333333333329E-2</c:v>
                </c:pt>
                <c:pt idx="59">
                  <c:v>0.1388888888888889</c:v>
                </c:pt>
                <c:pt idx="60">
                  <c:v>0.22222222222222221</c:v>
                </c:pt>
                <c:pt idx="61">
                  <c:v>0.33333333333333331</c:v>
                </c:pt>
                <c:pt idx="62">
                  <c:v>0.3888888888888889</c:v>
                </c:pt>
                <c:pt idx="63">
                  <c:v>0.44444444444444442</c:v>
                </c:pt>
                <c:pt idx="64">
                  <c:v>0.5</c:v>
                </c:pt>
                <c:pt idx="65">
                  <c:v>0.52777777777777779</c:v>
                </c:pt>
                <c:pt idx="66">
                  <c:v>0.55555555555555558</c:v>
                </c:pt>
                <c:pt idx="67">
                  <c:v>0.55555555555555558</c:v>
                </c:pt>
                <c:pt idx="68">
                  <c:v>0.58333333333333337</c:v>
                </c:pt>
                <c:pt idx="69">
                  <c:v>0.63888888888888884</c:v>
                </c:pt>
                <c:pt idx="70">
                  <c:v>0.66666666666666663</c:v>
                </c:pt>
                <c:pt idx="71">
                  <c:v>0.66666666666666663</c:v>
                </c:pt>
                <c:pt idx="72">
                  <c:v>0.69444444444444442</c:v>
                </c:pt>
                <c:pt idx="73">
                  <c:v>0.72222222222222221</c:v>
                </c:pt>
                <c:pt idx="74">
                  <c:v>0.77777777777777779</c:v>
                </c:pt>
                <c:pt idx="75">
                  <c:v>0.80555555555555558</c:v>
                </c:pt>
                <c:pt idx="76">
                  <c:v>0.88888888888888884</c:v>
                </c:pt>
                <c:pt idx="77">
                  <c:v>1.0555555555555556</c:v>
                </c:pt>
                <c:pt idx="78">
                  <c:v>1.0555555555555556</c:v>
                </c:pt>
                <c:pt idx="79">
                  <c:v>0.97222222222222221</c:v>
                </c:pt>
                <c:pt idx="80">
                  <c:v>0.97222222222222221</c:v>
                </c:pt>
                <c:pt idx="81">
                  <c:v>0.94444444444444442</c:v>
                </c:pt>
                <c:pt idx="82">
                  <c:v>0.97222222222222221</c:v>
                </c:pt>
                <c:pt idx="83">
                  <c:v>1</c:v>
                </c:pt>
                <c:pt idx="84">
                  <c:v>1.0833333333333333</c:v>
                </c:pt>
                <c:pt idx="85">
                  <c:v>1.1388888888888888</c:v>
                </c:pt>
                <c:pt idx="86">
                  <c:v>1.1666666666666667</c:v>
                </c:pt>
                <c:pt idx="87">
                  <c:v>1.1666666666666667</c:v>
                </c:pt>
                <c:pt idx="88">
                  <c:v>1.1666666666666667</c:v>
                </c:pt>
                <c:pt idx="89">
                  <c:v>1.1944444444444444</c:v>
                </c:pt>
                <c:pt idx="90">
                  <c:v>1.1944444444444444</c:v>
                </c:pt>
                <c:pt idx="91">
                  <c:v>1.2222222222222223</c:v>
                </c:pt>
                <c:pt idx="92">
                  <c:v>1.1944444444444444</c:v>
                </c:pt>
                <c:pt idx="93">
                  <c:v>1.1388888888888888</c:v>
                </c:pt>
                <c:pt idx="94">
                  <c:v>1.0277777777777777</c:v>
                </c:pt>
                <c:pt idx="95">
                  <c:v>0.83333333333333337</c:v>
                </c:pt>
                <c:pt idx="96">
                  <c:v>0.77777777777777779</c:v>
                </c:pt>
                <c:pt idx="97">
                  <c:v>0.77777777777777779</c:v>
                </c:pt>
                <c:pt idx="98">
                  <c:v>0.75</c:v>
                </c:pt>
                <c:pt idx="99">
                  <c:v>0.72222222222222221</c:v>
                </c:pt>
                <c:pt idx="100">
                  <c:v>0.63888888888888884</c:v>
                </c:pt>
                <c:pt idx="101">
                  <c:v>0.61111111111111116</c:v>
                </c:pt>
                <c:pt idx="102">
                  <c:v>0.5</c:v>
                </c:pt>
                <c:pt idx="103">
                  <c:v>0.47222222222222221</c:v>
                </c:pt>
                <c:pt idx="104">
                  <c:v>0.44444444444444442</c:v>
                </c:pt>
                <c:pt idx="105">
                  <c:v>0.41666666666666669</c:v>
                </c:pt>
                <c:pt idx="106">
                  <c:v>0.44444444444444442</c:v>
                </c:pt>
                <c:pt idx="107">
                  <c:v>0.41666666666666669</c:v>
                </c:pt>
                <c:pt idx="108">
                  <c:v>0.3888888888888889</c:v>
                </c:pt>
                <c:pt idx="109">
                  <c:v>0.3611111111111111</c:v>
                </c:pt>
                <c:pt idx="110">
                  <c:v>0.33333333333333331</c:v>
                </c:pt>
                <c:pt idx="111">
                  <c:v>0.33333333333333331</c:v>
                </c:pt>
                <c:pt idx="112">
                  <c:v>0.30555555555555558</c:v>
                </c:pt>
                <c:pt idx="113">
                  <c:v>0.27777777777777779</c:v>
                </c:pt>
                <c:pt idx="114">
                  <c:v>0.25</c:v>
                </c:pt>
                <c:pt idx="115">
                  <c:v>0.22222222222222221</c:v>
                </c:pt>
                <c:pt idx="116">
                  <c:v>0.19444444444444445</c:v>
                </c:pt>
                <c:pt idx="117">
                  <c:v>0.19444444444444445</c:v>
                </c:pt>
                <c:pt idx="118">
                  <c:v>0.19444444444444445</c:v>
                </c:pt>
                <c:pt idx="119">
                  <c:v>0.16666666666666666</c:v>
                </c:pt>
                <c:pt idx="120">
                  <c:v>0.16666666666666666</c:v>
                </c:pt>
                <c:pt idx="121">
                  <c:v>0.1388888888888889</c:v>
                </c:pt>
                <c:pt idx="122">
                  <c:v>0.1111111111111111</c:v>
                </c:pt>
                <c:pt idx="123">
                  <c:v>8.3333333333333329E-2</c:v>
                </c:pt>
                <c:pt idx="124">
                  <c:v>2.7777777777777776E-2</c:v>
                </c:pt>
                <c:pt idx="125">
                  <c:v>2.7777777777777776E-2</c:v>
                </c:pt>
                <c:pt idx="126">
                  <c:v>2.7777777777777776E-2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2.7777777777777776E-2</c:v>
                </c:pt>
                <c:pt idx="133">
                  <c:v>2.7777777777777776E-2</c:v>
                </c:pt>
                <c:pt idx="134">
                  <c:v>8.3333333333333329E-2</c:v>
                </c:pt>
                <c:pt idx="135">
                  <c:v>0.1388888888888889</c:v>
                </c:pt>
                <c:pt idx="136">
                  <c:v>0.1388888888888889</c:v>
                </c:pt>
                <c:pt idx="137">
                  <c:v>0.16666666666666666</c:v>
                </c:pt>
                <c:pt idx="138">
                  <c:v>0.16666666666666666</c:v>
                </c:pt>
                <c:pt idx="139">
                  <c:v>0.16666666666666666</c:v>
                </c:pt>
                <c:pt idx="140">
                  <c:v>0.16666666666666666</c:v>
                </c:pt>
                <c:pt idx="141">
                  <c:v>0.19444444444444445</c:v>
                </c:pt>
                <c:pt idx="142">
                  <c:v>0.19444444444444445</c:v>
                </c:pt>
                <c:pt idx="143">
                  <c:v>0.22222222222222221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CE-4BCD-9D7D-0E669D4EEA0D}"/>
            </c:ext>
          </c:extLst>
        </c:ser>
        <c:ser>
          <c:idx val="2"/>
          <c:order val="1"/>
          <c:tx>
            <c:strRef>
              <c:f>ruiseki!$H$1</c:f>
              <c:strCache>
                <c:ptCount val="1"/>
                <c:pt idx="0">
                  <c:v>半減期1.5時間雨量(mm)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ruiseki!$B$2:$B$16385</c:f>
              <c:numCache>
                <c:formatCode>General</c:formatCode>
                <c:ptCount val="14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</c:numCache>
            </c:numRef>
          </c:xVal>
          <c:yVal>
            <c:numRef>
              <c:f>ruiseki!$H$2:$H$16385</c:f>
              <c:numCache>
                <c:formatCode>0.0_ </c:formatCode>
                <c:ptCount val="1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0.5</c:v>
                </c:pt>
                <c:pt idx="58">
                  <c:v>1.4629373561436452</c:v>
                </c:pt>
                <c:pt idx="59">
                  <c:v>2.3544967037138269</c:v>
                </c:pt>
                <c:pt idx="60">
                  <c:v>3.6799689581324131</c:v>
                </c:pt>
                <c:pt idx="61">
                  <c:v>5.4071902003370074</c:v>
                </c:pt>
                <c:pt idx="62">
                  <c:v>6.0063806710196834</c:v>
                </c:pt>
                <c:pt idx="63">
                  <c:v>6.5611559756682922</c:v>
                </c:pt>
                <c:pt idx="64">
                  <c:v>7.0748084012439163</c:v>
                </c:pt>
                <c:pt idx="65">
                  <c:v>7.050386192989416</c:v>
                </c:pt>
                <c:pt idx="66">
                  <c:v>7.0277742879483611</c:v>
                </c:pt>
                <c:pt idx="67">
                  <c:v>6.5068384968742068</c:v>
                </c:pt>
                <c:pt idx="68">
                  <c:v>6.524517221193272</c:v>
                </c:pt>
                <c:pt idx="69">
                  <c:v>7.040885504985793</c:v>
                </c:pt>
                <c:pt idx="70">
                  <c:v>7.0189778411764747</c:v>
                </c:pt>
                <c:pt idx="71">
                  <c:v>6.4986940892501357</c:v>
                </c:pt>
                <c:pt idx="72">
                  <c:v>6.5169765201275842</c:v>
                </c:pt>
                <c:pt idx="73">
                  <c:v>6.5339037605561545</c:v>
                </c:pt>
                <c:pt idx="74">
                  <c:v>7.0495762644177749</c:v>
                </c:pt>
                <c:pt idx="75">
                  <c:v>7.5270243955651193</c:v>
                </c:pt>
                <c:pt idx="76">
                  <c:v>9.4690815466232721</c:v>
                </c:pt>
                <c:pt idx="77">
                  <c:v>12.767183152604714</c:v>
                </c:pt>
                <c:pt idx="78">
                  <c:v>13.320812028137031</c:v>
                </c:pt>
                <c:pt idx="79">
                  <c:v>12.833403003984451</c:v>
                </c:pt>
                <c:pt idx="80">
                  <c:v>12.882123313980951</c:v>
                </c:pt>
                <c:pt idx="81">
                  <c:v>12.42723221698151</c:v>
                </c:pt>
                <c:pt idx="82">
                  <c:v>13.006060053425102</c:v>
                </c:pt>
                <c:pt idx="83">
                  <c:v>13.041982109956189</c:v>
                </c:pt>
                <c:pt idx="84">
                  <c:v>14.075241433711676</c:v>
                </c:pt>
                <c:pt idx="85">
                  <c:v>14.031910112811948</c:v>
                </c:pt>
                <c:pt idx="86">
                  <c:v>13.991790738540884</c:v>
                </c:pt>
                <c:pt idx="87">
                  <c:v>13.954645224430516</c:v>
                </c:pt>
                <c:pt idx="88">
                  <c:v>13.420253132240816</c:v>
                </c:pt>
                <c:pt idx="89">
                  <c:v>12.925473007636075</c:v>
                </c:pt>
                <c:pt idx="90">
                  <c:v>12.467368602122189</c:v>
                </c:pt>
                <c:pt idx="91">
                  <c:v>12.543221317469481</c:v>
                </c:pt>
                <c:pt idx="92">
                  <c:v>12.113451428467863</c:v>
                </c:pt>
                <c:pt idx="93">
                  <c:v>11.215538356138751</c:v>
                </c:pt>
                <c:pt idx="94">
                  <c:v>10.884183348637036</c:v>
                </c:pt>
                <c:pt idx="95">
                  <c:v>10.577390126401433</c:v>
                </c:pt>
                <c:pt idx="96">
                  <c:v>10.293338040032353</c:v>
                </c:pt>
                <c:pt idx="97">
                  <c:v>10.030341396290776</c:v>
                </c:pt>
                <c:pt idx="98">
                  <c:v>9.7868394544340216</c:v>
                </c:pt>
                <c:pt idx="99">
                  <c:v>9.0613871640760024</c:v>
                </c:pt>
                <c:pt idx="100">
                  <c:v>8.3897092334626162</c:v>
                </c:pt>
                <c:pt idx="101">
                  <c:v>8.2678196227062237</c:v>
                </c:pt>
                <c:pt idx="102">
                  <c:v>7.6549651144163393</c:v>
                </c:pt>
                <c:pt idx="103">
                  <c:v>7.5875386228794737</c:v>
                </c:pt>
                <c:pt idx="104">
                  <c:v>7.5251101394272366</c:v>
                </c:pt>
                <c:pt idx="105">
                  <c:v>7.4673091852723648</c:v>
                </c:pt>
                <c:pt idx="106">
                  <c:v>7.9137927434742918</c:v>
                </c:pt>
                <c:pt idx="107">
                  <c:v>7.3271805794655069</c:v>
                </c:pt>
                <c:pt idx="108">
                  <c:v>6.7840512108896487</c:v>
                </c:pt>
                <c:pt idx="109">
                  <c:v>6.7811814630246978</c:v>
                </c:pt>
                <c:pt idx="110">
                  <c:v>6.2785244360458998</c:v>
                </c:pt>
                <c:pt idx="111">
                  <c:v>5.8131270058127198</c:v>
                </c:pt>
                <c:pt idx="112">
                  <c:v>5.3822272939963298</c:v>
                </c:pt>
                <c:pt idx="113">
                  <c:v>4.9832681472936535</c:v>
                </c:pt>
                <c:pt idx="114">
                  <c:v>4.6138819621259302</c:v>
                </c:pt>
                <c:pt idx="115">
                  <c:v>4.2718766342108649</c:v>
                </c:pt>
                <c:pt idx="116">
                  <c:v>3.9552225496267832</c:v>
                </c:pt>
                <c:pt idx="117">
                  <c:v>3.6620405401679013</c:v>
                </c:pt>
                <c:pt idx="118">
                  <c:v>3.3905907315123494</c:v>
                </c:pt>
                <c:pt idx="119">
                  <c:v>3.1392622180229504</c:v>
                </c:pt>
                <c:pt idx="120">
                  <c:v>2.9065635029063603</c:v>
                </c:pt>
                <c:pt idx="121">
                  <c:v>2.6911136469981654</c:v>
                </c:pt>
                <c:pt idx="122">
                  <c:v>2.4916340736468272</c:v>
                </c:pt>
                <c:pt idx="123">
                  <c:v>2.3069409810629655</c:v>
                </c:pt>
                <c:pt idx="124">
                  <c:v>2.1359383171054329</c:v>
                </c:pt>
                <c:pt idx="125">
                  <c:v>1.9776112748133921</c:v>
                </c:pt>
                <c:pt idx="126">
                  <c:v>1.8310202700839511</c:v>
                </c:pt>
                <c:pt idx="127">
                  <c:v>1.6952953657561751</c:v>
                </c:pt>
                <c:pt idx="128">
                  <c:v>1.5696311090114754</c:v>
                </c:pt>
                <c:pt idx="129">
                  <c:v>1.4532817514531804</c:v>
                </c:pt>
                <c:pt idx="130">
                  <c:v>1.3455568234990829</c:v>
                </c:pt>
                <c:pt idx="131">
                  <c:v>1.2458170368234138</c:v>
                </c:pt>
                <c:pt idx="132">
                  <c:v>1.653470490531483</c:v>
                </c:pt>
                <c:pt idx="133">
                  <c:v>1.5309065146963619</c:v>
                </c:pt>
                <c:pt idx="134">
                  <c:v>2.4174276288332326</c:v>
                </c:pt>
                <c:pt idx="135">
                  <c:v>3.2382351103213161</c:v>
                </c:pt>
                <c:pt idx="136">
                  <c:v>2.9982000010873509</c:v>
                </c:pt>
                <c:pt idx="137">
                  <c:v>3.275957563386505</c:v>
                </c:pt>
                <c:pt idx="138">
                  <c:v>3.0331262664658536</c:v>
                </c:pt>
                <c:pt idx="139">
                  <c:v>2.8082949092950957</c:v>
                </c:pt>
                <c:pt idx="140">
                  <c:v>2.6001292411614592</c:v>
                </c:pt>
                <c:pt idx="141">
                  <c:v>2.9073939130701367</c:v>
                </c:pt>
                <c:pt idx="142">
                  <c:v>2.6918825027696323</c:v>
                </c:pt>
                <c:pt idx="143">
                  <c:v>2.9923459377630248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CE-4BCD-9D7D-0E669D4EEA0D}"/>
            </c:ext>
          </c:extLst>
        </c:ser>
        <c:ser>
          <c:idx val="3"/>
          <c:order val="2"/>
          <c:tx>
            <c:strRef>
              <c:f>ruiseki!$I$1</c:f>
              <c:strCache>
                <c:ptCount val="1"/>
                <c:pt idx="0">
                  <c:v>半減期72時間雨量(mm)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ruiseki!$B$2:$B$16385</c:f>
              <c:numCache>
                <c:formatCode>General</c:formatCode>
                <c:ptCount val="14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</c:numCache>
            </c:numRef>
          </c:xVal>
          <c:yVal>
            <c:numRef>
              <c:f>ruiseki!$I$2:$I$16385</c:f>
              <c:numCache>
                <c:formatCode>0.0_ </c:formatCode>
                <c:ptCount val="1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0.5</c:v>
                </c:pt>
                <c:pt idx="58">
                  <c:v>1.4991983895856773</c:v>
                </c:pt>
                <c:pt idx="59">
                  <c:v>2.4967948435012213</c:v>
                </c:pt>
                <c:pt idx="60">
                  <c:v>3.992791930003265</c:v>
                </c:pt>
                <c:pt idx="61">
                  <c:v>5.9863906028166358</c:v>
                </c:pt>
                <c:pt idx="62">
                  <c:v>6.9767930967137914</c:v>
                </c:pt>
                <c:pt idx="63">
                  <c:v>7.9656077567039887</c:v>
                </c:pt>
                <c:pt idx="64">
                  <c:v>8.9528371284356201</c:v>
                </c:pt>
                <c:pt idx="65">
                  <c:v>9.4384837534758397</c:v>
                </c:pt>
                <c:pt idx="66">
                  <c:v>9.9233517797314335</c:v>
                </c:pt>
                <c:pt idx="67">
                  <c:v>9.9074424554681908</c:v>
                </c:pt>
                <c:pt idx="68">
                  <c:v>10.391558637364977</c:v>
                </c:pt>
                <c:pt idx="69">
                  <c:v>11.37489867411546</c:v>
                </c:pt>
                <c:pt idx="70">
                  <c:v>11.856662199637386</c:v>
                </c:pt>
                <c:pt idx="71">
                  <c:v>11.837653351840713</c:v>
                </c:pt>
                <c:pt idx="72">
                  <c:v>12.318674979424754</c:v>
                </c:pt>
                <c:pt idx="73">
                  <c:v>12.798925423116424</c:v>
                </c:pt>
                <c:pt idx="74">
                  <c:v>13.778405919293801</c:v>
                </c:pt>
                <c:pt idx="75">
                  <c:v>14.756316091938455</c:v>
                </c:pt>
                <c:pt idx="76">
                  <c:v>17.232658458625782</c:v>
                </c:pt>
                <c:pt idx="77">
                  <c:v>21.205030701651978</c:v>
                </c:pt>
                <c:pt idx="78">
                  <c:v>22.671034354759019</c:v>
                </c:pt>
                <c:pt idx="79">
                  <c:v>23.134687680274528</c:v>
                </c:pt>
                <c:pt idx="80">
                  <c:v>24.097597667121299</c:v>
                </c:pt>
                <c:pt idx="81">
                  <c:v>24.558963896621048</c:v>
                </c:pt>
                <c:pt idx="82">
                  <c:v>26.019590454172029</c:v>
                </c:pt>
                <c:pt idx="83">
                  <c:v>26.977875304803071</c:v>
                </c:pt>
                <c:pt idx="84">
                  <c:v>28.934623813201807</c:v>
                </c:pt>
                <c:pt idx="85">
                  <c:v>29.888235221635455</c:v>
                </c:pt>
                <c:pt idx="86">
                  <c:v>30.840317780396671</c:v>
                </c:pt>
                <c:pt idx="87">
                  <c:v>31.790873940569089</c:v>
                </c:pt>
                <c:pt idx="88">
                  <c:v>32.239906149306719</c:v>
                </c:pt>
                <c:pt idx="89">
                  <c:v>32.688218460254568</c:v>
                </c:pt>
                <c:pt idx="90">
                  <c:v>33.135812027567766</c:v>
                </c:pt>
                <c:pt idx="91">
                  <c:v>34.082688003551084</c:v>
                </c:pt>
                <c:pt idx="92">
                  <c:v>34.528045928247558</c:v>
                </c:pt>
                <c:pt idx="93">
                  <c:v>34.472689845842957</c:v>
                </c:pt>
                <c:pt idx="94">
                  <c:v>34.917422511462661</c:v>
                </c:pt>
                <c:pt idx="95">
                  <c:v>35.361442172409667</c:v>
                </c:pt>
                <c:pt idx="96">
                  <c:v>35.804749971787913</c:v>
                </c:pt>
                <c:pt idx="97">
                  <c:v>36.247347050868697</c:v>
                </c:pt>
                <c:pt idx="98">
                  <c:v>36.689234549093598</c:v>
                </c:pt>
                <c:pt idx="99">
                  <c:v>36.630413604077425</c:v>
                </c:pt>
                <c:pt idx="100">
                  <c:v>36.571686962025467</c:v>
                </c:pt>
                <c:pt idx="101">
                  <c:v>37.013054471749243</c:v>
                </c:pt>
                <c:pt idx="102">
                  <c:v>36.953714371888339</c:v>
                </c:pt>
                <c:pt idx="103">
                  <c:v>37.394469407311504</c:v>
                </c:pt>
                <c:pt idx="104">
                  <c:v>37.834517815081554</c:v>
                </c:pt>
                <c:pt idx="105">
                  <c:v>38.273860728078652</c:v>
                </c:pt>
                <c:pt idx="106">
                  <c:v>39.212499277366717</c:v>
                </c:pt>
                <c:pt idx="107">
                  <c:v>39.149632981781991</c:v>
                </c:pt>
                <c:pt idx="108">
                  <c:v>39.08686747475177</c:v>
                </c:pt>
                <c:pt idx="109">
                  <c:v>39.52420259468974</c:v>
                </c:pt>
                <c:pt idx="110">
                  <c:v>39.460836569854322</c:v>
                </c:pt>
                <c:pt idx="111">
                  <c:v>39.397572134749751</c:v>
                </c:pt>
                <c:pt idx="112">
                  <c:v>39.33440912650525</c:v>
                </c:pt>
                <c:pt idx="113">
                  <c:v>39.271347382511166</c:v>
                </c:pt>
                <c:pt idx="114">
                  <c:v>39.208386740418547</c:v>
                </c:pt>
                <c:pt idx="115">
                  <c:v>39.145527038138717</c:v>
                </c:pt>
                <c:pt idx="116">
                  <c:v>39.08276811384286</c:v>
                </c:pt>
                <c:pt idx="117">
                  <c:v>39.020109805961624</c:v>
                </c:pt>
                <c:pt idx="118">
                  <c:v>38.957551953184669</c:v>
                </c:pt>
                <c:pt idx="119">
                  <c:v>38.89509439446028</c:v>
                </c:pt>
                <c:pt idx="120">
                  <c:v>38.832736968994944</c:v>
                </c:pt>
                <c:pt idx="121">
                  <c:v>38.770479516252934</c:v>
                </c:pt>
                <c:pt idx="122">
                  <c:v>38.708321875955896</c:v>
                </c:pt>
                <c:pt idx="123">
                  <c:v>38.646263888082444</c:v>
                </c:pt>
                <c:pt idx="124">
                  <c:v>38.584305392867734</c:v>
                </c:pt>
                <c:pt idx="125">
                  <c:v>38.522446230803062</c:v>
                </c:pt>
                <c:pt idx="126">
                  <c:v>38.460686242635461</c:v>
                </c:pt>
                <c:pt idx="127">
                  <c:v>38.399025269367264</c:v>
                </c:pt>
                <c:pt idx="128">
                  <c:v>38.337463152255722</c:v>
                </c:pt>
                <c:pt idx="129">
                  <c:v>38.275999732812593</c:v>
                </c:pt>
                <c:pt idx="130">
                  <c:v>38.214634852803712</c:v>
                </c:pt>
                <c:pt idx="131">
                  <c:v>38.153368354248613</c:v>
                </c:pt>
                <c:pt idx="132">
                  <c:v>38.592200079420095</c:v>
                </c:pt>
                <c:pt idx="133">
                  <c:v>38.530328260429513</c:v>
                </c:pt>
                <c:pt idx="134">
                  <c:v>39.468555635627837</c:v>
                </c:pt>
                <c:pt idx="135">
                  <c:v>40.405278825156238</c:v>
                </c:pt>
                <c:pt idx="136">
                  <c:v>40.340500240556516</c:v>
                </c:pt>
                <c:pt idx="137">
                  <c:v>40.775825510332872</c:v>
                </c:pt>
                <c:pt idx="138">
                  <c:v>40.710452857569486</c:v>
                </c:pt>
                <c:pt idx="139">
                  <c:v>40.645185011604632</c:v>
                </c:pt>
                <c:pt idx="140">
                  <c:v>40.580021804409874</c:v>
                </c:pt>
                <c:pt idx="141">
                  <c:v>41.014963068226152</c:v>
                </c:pt>
                <c:pt idx="142">
                  <c:v>40.949207025149043</c:v>
                </c:pt>
                <c:pt idx="143">
                  <c:v>41.383556403529802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CE-4BCD-9D7D-0E669D4EEA0D}"/>
            </c:ext>
          </c:extLst>
        </c:ser>
        <c:ser>
          <c:idx val="0"/>
          <c:order val="3"/>
          <c:tx>
            <c:strRef>
              <c:f>ruiseki!$C$1</c:f>
              <c:strCache>
                <c:ptCount val="1"/>
                <c:pt idx="0">
                  <c:v>計測値(mm)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ruiseki!$B$2:$B$16385</c:f>
              <c:numCache>
                <c:formatCode>General</c:formatCode>
                <c:ptCount val="14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</c:numCache>
            </c:numRef>
          </c:xVal>
          <c:yVal>
            <c:numRef>
              <c:f>ruiseki!$C$2:$C$16385</c:f>
              <c:numCache>
                <c:formatCode>0.0_ </c:formatCode>
                <c:ptCount val="1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0.5</c:v>
                </c:pt>
                <c:pt idx="58">
                  <c:v>1</c:v>
                </c:pt>
                <c:pt idx="59">
                  <c:v>1</c:v>
                </c:pt>
                <c:pt idx="60">
                  <c:v>1.5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0.5</c:v>
                </c:pt>
                <c:pt idx="66">
                  <c:v>0.5</c:v>
                </c:pt>
                <c:pt idx="67">
                  <c:v>0</c:v>
                </c:pt>
                <c:pt idx="68">
                  <c:v>0.5</c:v>
                </c:pt>
                <c:pt idx="69">
                  <c:v>1</c:v>
                </c:pt>
                <c:pt idx="70">
                  <c:v>0.5</c:v>
                </c:pt>
                <c:pt idx="71">
                  <c:v>0</c:v>
                </c:pt>
                <c:pt idx="72">
                  <c:v>0.5</c:v>
                </c:pt>
                <c:pt idx="73">
                  <c:v>0.5</c:v>
                </c:pt>
                <c:pt idx="74">
                  <c:v>1</c:v>
                </c:pt>
                <c:pt idx="75">
                  <c:v>1</c:v>
                </c:pt>
                <c:pt idx="76">
                  <c:v>2.5</c:v>
                </c:pt>
                <c:pt idx="77">
                  <c:v>4</c:v>
                </c:pt>
                <c:pt idx="78">
                  <c:v>1.5</c:v>
                </c:pt>
                <c:pt idx="79">
                  <c:v>0.5</c:v>
                </c:pt>
                <c:pt idx="80">
                  <c:v>1</c:v>
                </c:pt>
                <c:pt idx="81">
                  <c:v>0.5</c:v>
                </c:pt>
                <c:pt idx="82">
                  <c:v>1.5</c:v>
                </c:pt>
                <c:pt idx="83">
                  <c:v>1</c:v>
                </c:pt>
                <c:pt idx="84">
                  <c:v>2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1</c:v>
                </c:pt>
                <c:pt idx="92">
                  <c:v>0.5</c:v>
                </c:pt>
                <c:pt idx="93">
                  <c:v>0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</c:v>
                </c:pt>
                <c:pt idx="100">
                  <c:v>0</c:v>
                </c:pt>
                <c:pt idx="101">
                  <c:v>0.5</c:v>
                </c:pt>
                <c:pt idx="102">
                  <c:v>0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0.5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0.5</c:v>
                </c:pt>
                <c:pt idx="133">
                  <c:v>0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0.5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0.5</c:v>
                </c:pt>
                <c:pt idx="142">
                  <c:v>0</c:v>
                </c:pt>
                <c:pt idx="143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CE-4BCD-9D7D-0E669D4EE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170159"/>
        <c:axId val="1017167759"/>
      </c:scatterChart>
      <c:valAx>
        <c:axId val="1017170159"/>
        <c:scaling>
          <c:orientation val="minMax"/>
          <c:max val="1440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経過時間</a:t>
                </a:r>
                <a:r>
                  <a:rPr lang="en-US" altLang="ja-JP">
                    <a:solidFill>
                      <a:schemeClr val="tx1"/>
                    </a:solidFill>
                  </a:rPr>
                  <a:t>(min)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7167759"/>
        <c:crosses val="autoZero"/>
        <c:crossBetween val="midCat"/>
        <c:majorUnit val="180"/>
        <c:minorUnit val="60"/>
      </c:valAx>
      <c:valAx>
        <c:axId val="101716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tx1"/>
                    </a:solidFill>
                  </a:rPr>
                  <a:t>雨量</a:t>
                </a:r>
                <a:r>
                  <a:rPr lang="en-US" altLang="ja-JP">
                    <a:solidFill>
                      <a:schemeClr val="tx1"/>
                    </a:solidFill>
                  </a:rPr>
                  <a:t>(mm)</a:t>
                </a:r>
                <a:endParaRPr lang="ja-JP" alt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7170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181517935258094"/>
          <c:y val="0.17704923778609166"/>
          <c:w val="0.3330363079615048"/>
          <c:h val="0.2916679386249057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84363</xdr:colOff>
      <xdr:row>1</xdr:row>
      <xdr:rowOff>5</xdr:rowOff>
    </xdr:from>
    <xdr:to>
      <xdr:col>9</xdr:col>
      <xdr:colOff>639535</xdr:colOff>
      <xdr:row>16</xdr:row>
      <xdr:rowOff>27215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E3829A7-45E8-C7ED-CEA7-712BE7AB8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856AD-D5EE-4874-B37F-B90E708D88F2}">
  <dimension ref="A1:L15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" activeCellId="4" sqref="B1:B1048576 C1:C1048576 G1:G1048576 H1:H1048576 I1:I1048576"/>
    </sheetView>
  </sheetViews>
  <sheetFormatPr defaultColWidth="0" defaultRowHeight="18.45" zeroHeight="1" x14ac:dyDescent="0.65"/>
  <cols>
    <col min="1" max="1" width="15.7109375" bestFit="1" customWidth="1"/>
    <col min="2" max="2" width="9.140625" customWidth="1"/>
    <col min="3" max="9" width="8.78515625" style="4" customWidth="1"/>
    <col min="10" max="12" width="9.140625" customWidth="1"/>
    <col min="13" max="16384" width="9.140625" hidden="1"/>
  </cols>
  <sheetData>
    <row r="1" spans="1:12" s="1" customFormat="1" ht="55.3" x14ac:dyDescent="0.65">
      <c r="A1" s="1" t="s">
        <v>12</v>
      </c>
      <c r="B1" s="1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1" t="s">
        <v>21</v>
      </c>
      <c r="K1" s="1" t="s">
        <v>22</v>
      </c>
      <c r="L1" s="1" t="s">
        <v>23</v>
      </c>
    </row>
    <row r="2" spans="1:12" x14ac:dyDescent="0.65">
      <c r="A2" s="2">
        <v>46204.006944444445</v>
      </c>
      <c r="B2">
        <v>0</v>
      </c>
      <c r="C2" s="4">
        <v>0</v>
      </c>
      <c r="D2" s="4">
        <f>IF(ISNUMBER(C2),C2,0)</f>
        <v>0</v>
      </c>
      <c r="E2" s="4">
        <f>0</f>
        <v>0</v>
      </c>
      <c r="F2" s="4">
        <f>AVERAGE(E2:E$2)</f>
        <v>0</v>
      </c>
      <c r="G2" s="4">
        <f>AVERAGE(E2:E$2)</f>
        <v>0</v>
      </c>
      <c r="H2" s="4">
        <f>0</f>
        <v>0</v>
      </c>
      <c r="I2" s="4">
        <f>0</f>
        <v>0</v>
      </c>
      <c r="J2">
        <f>IF(H2&gt;100,1,0)</f>
        <v>0</v>
      </c>
      <c r="K2">
        <f>IF(I2&gt;30,1,0)</f>
        <v>0</v>
      </c>
      <c r="L2" t="str">
        <f>IF(J2&gt;0,IF(K2&gt;0,"緊急避難","短期注意"),IF(K2&gt;0,"長期注意","なし"))</f>
        <v>なし</v>
      </c>
    </row>
    <row r="3" spans="1:12" x14ac:dyDescent="0.65">
      <c r="A3" s="2">
        <v>46204.013888888891</v>
      </c>
      <c r="B3">
        <v>10</v>
      </c>
      <c r="C3" s="4">
        <v>0</v>
      </c>
      <c r="D3" s="4">
        <f t="shared" ref="D3:D66" si="0">IF(ISNUMBER(C3),C3,0)</f>
        <v>0</v>
      </c>
      <c r="E3" s="4">
        <f>E2+D3</f>
        <v>0</v>
      </c>
      <c r="F3" s="4">
        <f>AVERAGE(E$2:E3)</f>
        <v>0</v>
      </c>
      <c r="G3" s="4">
        <f>AVERAGE(E$2:E3)</f>
        <v>0</v>
      </c>
      <c r="H3" s="4">
        <f>(const!$C$4*ruiseki!H2)+ruiseki!D3</f>
        <v>0</v>
      </c>
      <c r="I3" s="4">
        <f>(const!$D$4*ruiseki!I2)+ruiseki!D3</f>
        <v>0</v>
      </c>
      <c r="J3">
        <f t="shared" ref="J3:J66" si="1">IF(H3&gt;100,1,0)</f>
        <v>0</v>
      </c>
      <c r="K3">
        <f t="shared" ref="K3:K66" si="2">IF(I3&gt;30,1,0)</f>
        <v>0</v>
      </c>
      <c r="L3" t="str">
        <f t="shared" ref="L3:L66" si="3">IF(J3&gt;0,IF(K3&gt;0,"緊急避難","短期注意"),IF(K3&gt;0,"長期注意","なし"))</f>
        <v>なし</v>
      </c>
    </row>
    <row r="4" spans="1:12" x14ac:dyDescent="0.65">
      <c r="A4" s="2">
        <v>46204.020833333336</v>
      </c>
      <c r="B4">
        <v>20</v>
      </c>
      <c r="C4" s="4">
        <v>0</v>
      </c>
      <c r="D4" s="4">
        <f t="shared" si="0"/>
        <v>0</v>
      </c>
      <c r="E4" s="4">
        <f t="shared" ref="E4:E67" si="4">E3+D4</f>
        <v>0</v>
      </c>
      <c r="F4" s="4">
        <f>AVERAGE(E$2:E4)</f>
        <v>0</v>
      </c>
      <c r="G4" s="4">
        <f>AVERAGE(E$2:E4)</f>
        <v>0</v>
      </c>
      <c r="H4" s="4">
        <f>(const!$C$4*ruiseki!H3)+ruiseki!D4</f>
        <v>0</v>
      </c>
      <c r="I4" s="4">
        <f>(const!$D$4*ruiseki!I3)+ruiseki!D4</f>
        <v>0</v>
      </c>
      <c r="J4">
        <f t="shared" si="1"/>
        <v>0</v>
      </c>
      <c r="K4">
        <f t="shared" si="2"/>
        <v>0</v>
      </c>
      <c r="L4" t="str">
        <f t="shared" si="3"/>
        <v>なし</v>
      </c>
    </row>
    <row r="5" spans="1:12" x14ac:dyDescent="0.65">
      <c r="A5" s="2">
        <v>46204.027777777781</v>
      </c>
      <c r="B5">
        <v>30</v>
      </c>
      <c r="C5" s="4">
        <v>0</v>
      </c>
      <c r="D5" s="4">
        <f t="shared" si="0"/>
        <v>0</v>
      </c>
      <c r="E5" s="4">
        <f t="shared" si="4"/>
        <v>0</v>
      </c>
      <c r="F5" s="4">
        <f>AVERAGE(E$2:E5)</f>
        <v>0</v>
      </c>
      <c r="G5" s="4">
        <f>AVERAGE(E$2:E5)</f>
        <v>0</v>
      </c>
      <c r="H5" s="4">
        <f>(const!$C$4*ruiseki!H4)+ruiseki!D5</f>
        <v>0</v>
      </c>
      <c r="I5" s="4">
        <f>(const!$D$4*ruiseki!I4)+ruiseki!D5</f>
        <v>0</v>
      </c>
      <c r="J5">
        <f t="shared" si="1"/>
        <v>0</v>
      </c>
      <c r="K5">
        <f t="shared" si="2"/>
        <v>0</v>
      </c>
      <c r="L5" t="str">
        <f t="shared" si="3"/>
        <v>なし</v>
      </c>
    </row>
    <row r="6" spans="1:12" x14ac:dyDescent="0.65">
      <c r="A6" s="2">
        <v>46204.034722222219</v>
      </c>
      <c r="B6">
        <v>40</v>
      </c>
      <c r="C6" s="4">
        <v>0</v>
      </c>
      <c r="D6" s="4">
        <f t="shared" si="0"/>
        <v>0</v>
      </c>
      <c r="E6" s="4">
        <f t="shared" si="4"/>
        <v>0</v>
      </c>
      <c r="F6" s="4">
        <f>AVERAGE(E$2:E6)</f>
        <v>0</v>
      </c>
      <c r="G6" s="4">
        <f>AVERAGE(E$2:E6)</f>
        <v>0</v>
      </c>
      <c r="H6" s="4">
        <f>(const!$C$4*ruiseki!H5)+ruiseki!D6</f>
        <v>0</v>
      </c>
      <c r="I6" s="4">
        <f>(const!$D$4*ruiseki!I5)+ruiseki!D6</f>
        <v>0</v>
      </c>
      <c r="J6">
        <f t="shared" si="1"/>
        <v>0</v>
      </c>
      <c r="K6">
        <f t="shared" si="2"/>
        <v>0</v>
      </c>
      <c r="L6" t="str">
        <f t="shared" si="3"/>
        <v>なし</v>
      </c>
    </row>
    <row r="7" spans="1:12" x14ac:dyDescent="0.65">
      <c r="A7" s="2">
        <v>46204.041666666664</v>
      </c>
      <c r="B7">
        <v>50</v>
      </c>
      <c r="C7" s="4">
        <v>0</v>
      </c>
      <c r="D7" s="4">
        <f t="shared" si="0"/>
        <v>0</v>
      </c>
      <c r="E7" s="4">
        <f t="shared" si="4"/>
        <v>0</v>
      </c>
      <c r="F7" s="4">
        <f>AVERAGE(E$2:E7)</f>
        <v>0</v>
      </c>
      <c r="G7" s="4">
        <f>AVERAGE(E$2:E7)</f>
        <v>0</v>
      </c>
      <c r="H7" s="4">
        <f>(const!$C$4*ruiseki!H6)+ruiseki!D7</f>
        <v>0</v>
      </c>
      <c r="I7" s="4">
        <f>(const!$D$4*ruiseki!I6)+ruiseki!D7</f>
        <v>0</v>
      </c>
      <c r="J7">
        <f t="shared" si="1"/>
        <v>0</v>
      </c>
      <c r="K7">
        <f t="shared" si="2"/>
        <v>0</v>
      </c>
      <c r="L7" t="str">
        <f t="shared" si="3"/>
        <v>なし</v>
      </c>
    </row>
    <row r="8" spans="1:12" x14ac:dyDescent="0.65">
      <c r="A8" s="2">
        <v>46204.048611111109</v>
      </c>
      <c r="B8">
        <v>60</v>
      </c>
      <c r="C8" s="4">
        <v>0</v>
      </c>
      <c r="D8" s="4">
        <f t="shared" si="0"/>
        <v>0</v>
      </c>
      <c r="E8" s="4">
        <f t="shared" si="4"/>
        <v>0</v>
      </c>
      <c r="F8" s="4">
        <f>(E8-E2)/6</f>
        <v>0</v>
      </c>
      <c r="G8" s="4">
        <f>AVERAGE(E$2:E8)</f>
        <v>0</v>
      </c>
      <c r="H8" s="4">
        <f>(const!$C$4*ruiseki!H7)+ruiseki!D8</f>
        <v>0</v>
      </c>
      <c r="I8" s="4">
        <f>(const!$D$4*ruiseki!I7)+ruiseki!D8</f>
        <v>0</v>
      </c>
      <c r="J8">
        <f t="shared" si="1"/>
        <v>0</v>
      </c>
      <c r="K8">
        <f t="shared" si="2"/>
        <v>0</v>
      </c>
      <c r="L8" t="str">
        <f t="shared" si="3"/>
        <v>なし</v>
      </c>
    </row>
    <row r="9" spans="1:12" x14ac:dyDescent="0.65">
      <c r="A9" s="2">
        <v>46204.055555555555</v>
      </c>
      <c r="B9">
        <v>70</v>
      </c>
      <c r="C9" s="4">
        <v>0</v>
      </c>
      <c r="D9" s="4">
        <f t="shared" si="0"/>
        <v>0</v>
      </c>
      <c r="E9" s="4">
        <f t="shared" si="4"/>
        <v>0</v>
      </c>
      <c r="F9" s="4">
        <f t="shared" ref="F9:F72" si="5">(E9-E3)/6</f>
        <v>0</v>
      </c>
      <c r="G9" s="4">
        <f>AVERAGE(E$2:E9)</f>
        <v>0</v>
      </c>
      <c r="H9" s="4">
        <f>(const!$C$4*ruiseki!H8)+ruiseki!D9</f>
        <v>0</v>
      </c>
      <c r="I9" s="4">
        <f>(const!$D$4*ruiseki!I8)+ruiseki!D9</f>
        <v>0</v>
      </c>
      <c r="J9">
        <f t="shared" si="1"/>
        <v>0</v>
      </c>
      <c r="K9">
        <f t="shared" si="2"/>
        <v>0</v>
      </c>
      <c r="L9" t="str">
        <f t="shared" si="3"/>
        <v>なし</v>
      </c>
    </row>
    <row r="10" spans="1:12" x14ac:dyDescent="0.65">
      <c r="A10" s="2">
        <v>46204.0625</v>
      </c>
      <c r="B10">
        <v>80</v>
      </c>
      <c r="C10" s="4">
        <v>0</v>
      </c>
      <c r="D10" s="4">
        <f t="shared" si="0"/>
        <v>0</v>
      </c>
      <c r="E10" s="4">
        <f t="shared" si="4"/>
        <v>0</v>
      </c>
      <c r="F10" s="4">
        <f t="shared" si="5"/>
        <v>0</v>
      </c>
      <c r="G10" s="4">
        <f>AVERAGE(E$2:E10)</f>
        <v>0</v>
      </c>
      <c r="H10" s="4">
        <f>(const!$C$4*ruiseki!H9)+ruiseki!D10</f>
        <v>0</v>
      </c>
      <c r="I10" s="4">
        <f>(const!$D$4*ruiseki!I9)+ruiseki!D10</f>
        <v>0</v>
      </c>
      <c r="J10">
        <f t="shared" si="1"/>
        <v>0</v>
      </c>
      <c r="K10">
        <f t="shared" si="2"/>
        <v>0</v>
      </c>
      <c r="L10" t="str">
        <f t="shared" si="3"/>
        <v>なし</v>
      </c>
    </row>
    <row r="11" spans="1:12" x14ac:dyDescent="0.65">
      <c r="A11" s="2">
        <v>46204.069444444445</v>
      </c>
      <c r="B11">
        <v>90</v>
      </c>
      <c r="C11" s="4">
        <v>0</v>
      </c>
      <c r="D11" s="4">
        <f t="shared" si="0"/>
        <v>0</v>
      </c>
      <c r="E11" s="4">
        <f t="shared" si="4"/>
        <v>0</v>
      </c>
      <c r="F11" s="4">
        <f t="shared" si="5"/>
        <v>0</v>
      </c>
      <c r="G11" s="4">
        <f>AVERAGE(E$2:E11)</f>
        <v>0</v>
      </c>
      <c r="H11" s="4">
        <f>(const!$C$4*ruiseki!H10)+ruiseki!D11</f>
        <v>0</v>
      </c>
      <c r="I11" s="4">
        <f>(const!$D$4*ruiseki!I10)+ruiseki!D11</f>
        <v>0</v>
      </c>
      <c r="J11">
        <f t="shared" si="1"/>
        <v>0</v>
      </c>
      <c r="K11">
        <f t="shared" si="2"/>
        <v>0</v>
      </c>
      <c r="L11" t="str">
        <f t="shared" si="3"/>
        <v>なし</v>
      </c>
    </row>
    <row r="12" spans="1:12" x14ac:dyDescent="0.65">
      <c r="A12" s="2">
        <v>46204.076388888891</v>
      </c>
      <c r="B12">
        <v>100</v>
      </c>
      <c r="C12" s="4">
        <v>0</v>
      </c>
      <c r="D12" s="4">
        <f t="shared" si="0"/>
        <v>0</v>
      </c>
      <c r="E12" s="4">
        <f t="shared" si="4"/>
        <v>0</v>
      </c>
      <c r="F12" s="4">
        <f t="shared" si="5"/>
        <v>0</v>
      </c>
      <c r="G12" s="4">
        <f>AVERAGE(E$2:E12)</f>
        <v>0</v>
      </c>
      <c r="H12" s="4">
        <f>(const!$C$4*ruiseki!H11)+ruiseki!D12</f>
        <v>0</v>
      </c>
      <c r="I12" s="4">
        <f>(const!$D$4*ruiseki!I11)+ruiseki!D12</f>
        <v>0</v>
      </c>
      <c r="J12">
        <f t="shared" si="1"/>
        <v>0</v>
      </c>
      <c r="K12">
        <f t="shared" si="2"/>
        <v>0</v>
      </c>
      <c r="L12" t="str">
        <f t="shared" si="3"/>
        <v>なし</v>
      </c>
    </row>
    <row r="13" spans="1:12" x14ac:dyDescent="0.65">
      <c r="A13" s="2">
        <v>46204.083333333336</v>
      </c>
      <c r="B13">
        <v>110</v>
      </c>
      <c r="C13" s="4">
        <v>0</v>
      </c>
      <c r="D13" s="4">
        <f t="shared" si="0"/>
        <v>0</v>
      </c>
      <c r="E13" s="4">
        <f t="shared" si="4"/>
        <v>0</v>
      </c>
      <c r="F13" s="4">
        <f t="shared" si="5"/>
        <v>0</v>
      </c>
      <c r="G13" s="4">
        <f>AVERAGE(E$2:E13)</f>
        <v>0</v>
      </c>
      <c r="H13" s="4">
        <f>(const!$C$4*ruiseki!H12)+ruiseki!D13</f>
        <v>0</v>
      </c>
      <c r="I13" s="4">
        <f>(const!$D$4*ruiseki!I12)+ruiseki!D13</f>
        <v>0</v>
      </c>
      <c r="J13">
        <f t="shared" si="1"/>
        <v>0</v>
      </c>
      <c r="K13">
        <f t="shared" si="2"/>
        <v>0</v>
      </c>
      <c r="L13" t="str">
        <f t="shared" si="3"/>
        <v>なし</v>
      </c>
    </row>
    <row r="14" spans="1:12" x14ac:dyDescent="0.65">
      <c r="A14" s="2">
        <v>46204.090277777781</v>
      </c>
      <c r="B14">
        <v>120</v>
      </c>
      <c r="C14" s="4">
        <v>0</v>
      </c>
      <c r="D14" s="4">
        <f t="shared" si="0"/>
        <v>0</v>
      </c>
      <c r="E14" s="4">
        <f t="shared" si="4"/>
        <v>0</v>
      </c>
      <c r="F14" s="4">
        <f t="shared" si="5"/>
        <v>0</v>
      </c>
      <c r="G14" s="4">
        <f>AVERAGE(E$2:E14)</f>
        <v>0</v>
      </c>
      <c r="H14" s="4">
        <f>(const!$C$4*ruiseki!H13)+ruiseki!D14</f>
        <v>0</v>
      </c>
      <c r="I14" s="4">
        <f>(const!$D$4*ruiseki!I13)+ruiseki!D14</f>
        <v>0</v>
      </c>
      <c r="J14">
        <f t="shared" si="1"/>
        <v>0</v>
      </c>
      <c r="K14">
        <f t="shared" si="2"/>
        <v>0</v>
      </c>
      <c r="L14" t="str">
        <f t="shared" si="3"/>
        <v>なし</v>
      </c>
    </row>
    <row r="15" spans="1:12" x14ac:dyDescent="0.65">
      <c r="A15" s="2">
        <v>46204.097222222219</v>
      </c>
      <c r="B15">
        <v>130</v>
      </c>
      <c r="C15" s="4">
        <v>0</v>
      </c>
      <c r="D15" s="4">
        <f t="shared" si="0"/>
        <v>0</v>
      </c>
      <c r="E15" s="4">
        <f t="shared" si="4"/>
        <v>0</v>
      </c>
      <c r="F15" s="4">
        <f t="shared" si="5"/>
        <v>0</v>
      </c>
      <c r="G15" s="4">
        <f>AVERAGE(E$2:E15)</f>
        <v>0</v>
      </c>
      <c r="H15" s="4">
        <f>(const!$C$4*ruiseki!H14)+ruiseki!D15</f>
        <v>0</v>
      </c>
      <c r="I15" s="4">
        <f>(const!$D$4*ruiseki!I14)+ruiseki!D15</f>
        <v>0</v>
      </c>
      <c r="J15">
        <f t="shared" si="1"/>
        <v>0</v>
      </c>
      <c r="K15">
        <f t="shared" si="2"/>
        <v>0</v>
      </c>
      <c r="L15" t="str">
        <f t="shared" si="3"/>
        <v>なし</v>
      </c>
    </row>
    <row r="16" spans="1:12" x14ac:dyDescent="0.65">
      <c r="A16" s="2">
        <v>46204.104166666664</v>
      </c>
      <c r="B16">
        <v>140</v>
      </c>
      <c r="C16" s="4">
        <v>0</v>
      </c>
      <c r="D16" s="4">
        <f t="shared" si="0"/>
        <v>0</v>
      </c>
      <c r="E16" s="4">
        <f t="shared" si="4"/>
        <v>0</v>
      </c>
      <c r="F16" s="4">
        <f t="shared" si="5"/>
        <v>0</v>
      </c>
      <c r="G16" s="4">
        <f>AVERAGE(E$2:E16)</f>
        <v>0</v>
      </c>
      <c r="H16" s="4">
        <f>(const!$C$4*ruiseki!H15)+ruiseki!D16</f>
        <v>0</v>
      </c>
      <c r="I16" s="4">
        <f>(const!$D$4*ruiseki!I15)+ruiseki!D16</f>
        <v>0</v>
      </c>
      <c r="J16">
        <f t="shared" si="1"/>
        <v>0</v>
      </c>
      <c r="K16">
        <f t="shared" si="2"/>
        <v>0</v>
      </c>
      <c r="L16" t="str">
        <f t="shared" si="3"/>
        <v>なし</v>
      </c>
    </row>
    <row r="17" spans="1:12" x14ac:dyDescent="0.65">
      <c r="A17" s="2">
        <v>46204.111111111109</v>
      </c>
      <c r="B17">
        <v>150</v>
      </c>
      <c r="C17" s="4">
        <v>0</v>
      </c>
      <c r="D17" s="4">
        <f t="shared" si="0"/>
        <v>0</v>
      </c>
      <c r="E17" s="4">
        <f t="shared" si="4"/>
        <v>0</v>
      </c>
      <c r="F17" s="4">
        <f t="shared" si="5"/>
        <v>0</v>
      </c>
      <c r="G17" s="4">
        <f>AVERAGE(E$2:E17)</f>
        <v>0</v>
      </c>
      <c r="H17" s="4">
        <f>(const!$C$4*ruiseki!H16)+ruiseki!D17</f>
        <v>0</v>
      </c>
      <c r="I17" s="4">
        <f>(const!$D$4*ruiseki!I16)+ruiseki!D17</f>
        <v>0</v>
      </c>
      <c r="J17">
        <f t="shared" si="1"/>
        <v>0</v>
      </c>
      <c r="K17">
        <f t="shared" si="2"/>
        <v>0</v>
      </c>
      <c r="L17" t="str">
        <f t="shared" si="3"/>
        <v>なし</v>
      </c>
    </row>
    <row r="18" spans="1:12" x14ac:dyDescent="0.65">
      <c r="A18" s="2">
        <v>46204.118055555555</v>
      </c>
      <c r="B18">
        <v>160</v>
      </c>
      <c r="C18" s="4">
        <v>0</v>
      </c>
      <c r="D18" s="4">
        <f t="shared" si="0"/>
        <v>0</v>
      </c>
      <c r="E18" s="4">
        <f t="shared" si="4"/>
        <v>0</v>
      </c>
      <c r="F18" s="4">
        <f t="shared" si="5"/>
        <v>0</v>
      </c>
      <c r="G18" s="4">
        <f>AVERAGE(E$2:E18)</f>
        <v>0</v>
      </c>
      <c r="H18" s="4">
        <f>(const!$C$4*ruiseki!H17)+ruiseki!D18</f>
        <v>0</v>
      </c>
      <c r="I18" s="4">
        <f>(const!$D$4*ruiseki!I17)+ruiseki!D18</f>
        <v>0</v>
      </c>
      <c r="J18">
        <f t="shared" si="1"/>
        <v>0</v>
      </c>
      <c r="K18">
        <f t="shared" si="2"/>
        <v>0</v>
      </c>
      <c r="L18" t="str">
        <f t="shared" si="3"/>
        <v>なし</v>
      </c>
    </row>
    <row r="19" spans="1:12" x14ac:dyDescent="0.65">
      <c r="A19" s="2">
        <v>46204.125</v>
      </c>
      <c r="B19">
        <v>170</v>
      </c>
      <c r="C19" s="4">
        <v>0</v>
      </c>
      <c r="D19" s="4">
        <f t="shared" si="0"/>
        <v>0</v>
      </c>
      <c r="E19" s="4">
        <f t="shared" si="4"/>
        <v>0</v>
      </c>
      <c r="F19" s="4">
        <f t="shared" si="5"/>
        <v>0</v>
      </c>
      <c r="G19" s="4">
        <f>AVERAGE(E$2:E19)</f>
        <v>0</v>
      </c>
      <c r="H19" s="4">
        <f>(const!$C$4*ruiseki!H18)+ruiseki!D19</f>
        <v>0</v>
      </c>
      <c r="I19" s="4">
        <f>(const!$D$4*ruiseki!I18)+ruiseki!D19</f>
        <v>0</v>
      </c>
      <c r="J19">
        <f t="shared" si="1"/>
        <v>0</v>
      </c>
      <c r="K19">
        <f t="shared" si="2"/>
        <v>0</v>
      </c>
      <c r="L19" t="str">
        <f t="shared" si="3"/>
        <v>なし</v>
      </c>
    </row>
    <row r="20" spans="1:12" x14ac:dyDescent="0.65">
      <c r="A20" s="2">
        <v>46204.131944444445</v>
      </c>
      <c r="B20">
        <v>180</v>
      </c>
      <c r="C20" s="4">
        <v>0</v>
      </c>
      <c r="D20" s="4">
        <f t="shared" si="0"/>
        <v>0</v>
      </c>
      <c r="E20" s="4">
        <f t="shared" si="4"/>
        <v>0</v>
      </c>
      <c r="F20" s="4">
        <f t="shared" si="5"/>
        <v>0</v>
      </c>
      <c r="G20" s="4">
        <f>(E20-E2)/18</f>
        <v>0</v>
      </c>
      <c r="H20" s="4">
        <f>(const!$C$4*ruiseki!H19)+ruiseki!D20</f>
        <v>0</v>
      </c>
      <c r="I20" s="4">
        <f>(const!$D$4*ruiseki!I19)+ruiseki!D20</f>
        <v>0</v>
      </c>
      <c r="J20">
        <f t="shared" si="1"/>
        <v>0</v>
      </c>
      <c r="K20">
        <f t="shared" si="2"/>
        <v>0</v>
      </c>
      <c r="L20" t="str">
        <f t="shared" si="3"/>
        <v>なし</v>
      </c>
    </row>
    <row r="21" spans="1:12" x14ac:dyDescent="0.65">
      <c r="A21" s="2">
        <v>46204.138888888891</v>
      </c>
      <c r="B21">
        <v>190</v>
      </c>
      <c r="C21" s="4">
        <v>0</v>
      </c>
      <c r="D21" s="4">
        <f t="shared" si="0"/>
        <v>0</v>
      </c>
      <c r="E21" s="4">
        <f t="shared" si="4"/>
        <v>0</v>
      </c>
      <c r="F21" s="4">
        <f t="shared" si="5"/>
        <v>0</v>
      </c>
      <c r="G21" s="4">
        <f t="shared" ref="G21:G84" si="6">(E21-E3)/18</f>
        <v>0</v>
      </c>
      <c r="H21" s="4">
        <f>(const!$C$4*ruiseki!H20)+ruiseki!D21</f>
        <v>0</v>
      </c>
      <c r="I21" s="4">
        <f>(const!$D$4*ruiseki!I20)+ruiseki!D21</f>
        <v>0</v>
      </c>
      <c r="J21">
        <f t="shared" si="1"/>
        <v>0</v>
      </c>
      <c r="K21">
        <f t="shared" si="2"/>
        <v>0</v>
      </c>
      <c r="L21" t="str">
        <f t="shared" si="3"/>
        <v>なし</v>
      </c>
    </row>
    <row r="22" spans="1:12" x14ac:dyDescent="0.65">
      <c r="A22" s="2">
        <v>46204.145833333336</v>
      </c>
      <c r="B22">
        <v>200</v>
      </c>
      <c r="C22" s="4">
        <v>0</v>
      </c>
      <c r="D22" s="4">
        <f t="shared" si="0"/>
        <v>0</v>
      </c>
      <c r="E22" s="4">
        <f t="shared" si="4"/>
        <v>0</v>
      </c>
      <c r="F22" s="4">
        <f t="shared" si="5"/>
        <v>0</v>
      </c>
      <c r="G22" s="4">
        <f t="shared" si="6"/>
        <v>0</v>
      </c>
      <c r="H22" s="4">
        <f>(const!$C$4*ruiseki!H21)+ruiseki!D22</f>
        <v>0</v>
      </c>
      <c r="I22" s="4">
        <f>(const!$D$4*ruiseki!I21)+ruiseki!D22</f>
        <v>0</v>
      </c>
      <c r="J22">
        <f t="shared" si="1"/>
        <v>0</v>
      </c>
      <c r="K22">
        <f t="shared" si="2"/>
        <v>0</v>
      </c>
      <c r="L22" t="str">
        <f t="shared" si="3"/>
        <v>なし</v>
      </c>
    </row>
    <row r="23" spans="1:12" x14ac:dyDescent="0.65">
      <c r="A23" s="2">
        <v>46204.152777777781</v>
      </c>
      <c r="B23">
        <v>210</v>
      </c>
      <c r="C23" s="4">
        <v>0</v>
      </c>
      <c r="D23" s="4">
        <f t="shared" si="0"/>
        <v>0</v>
      </c>
      <c r="E23" s="4">
        <f t="shared" si="4"/>
        <v>0</v>
      </c>
      <c r="F23" s="4">
        <f t="shared" si="5"/>
        <v>0</v>
      </c>
      <c r="G23" s="4">
        <f t="shared" si="6"/>
        <v>0</v>
      </c>
      <c r="H23" s="4">
        <f>(const!$C$4*ruiseki!H22)+ruiseki!D23</f>
        <v>0</v>
      </c>
      <c r="I23" s="4">
        <f>(const!$D$4*ruiseki!I22)+ruiseki!D23</f>
        <v>0</v>
      </c>
      <c r="J23">
        <f t="shared" si="1"/>
        <v>0</v>
      </c>
      <c r="K23">
        <f t="shared" si="2"/>
        <v>0</v>
      </c>
      <c r="L23" t="str">
        <f t="shared" si="3"/>
        <v>なし</v>
      </c>
    </row>
    <row r="24" spans="1:12" x14ac:dyDescent="0.65">
      <c r="A24" s="2">
        <v>46204.159722222219</v>
      </c>
      <c r="B24">
        <v>220</v>
      </c>
      <c r="C24" s="4">
        <v>0</v>
      </c>
      <c r="D24" s="4">
        <f t="shared" si="0"/>
        <v>0</v>
      </c>
      <c r="E24" s="4">
        <f t="shared" si="4"/>
        <v>0</v>
      </c>
      <c r="F24" s="4">
        <f t="shared" si="5"/>
        <v>0</v>
      </c>
      <c r="G24" s="4">
        <f t="shared" si="6"/>
        <v>0</v>
      </c>
      <c r="H24" s="4">
        <f>(const!$C$4*ruiseki!H23)+ruiseki!D24</f>
        <v>0</v>
      </c>
      <c r="I24" s="4">
        <f>(const!$D$4*ruiseki!I23)+ruiseki!D24</f>
        <v>0</v>
      </c>
      <c r="J24">
        <f t="shared" si="1"/>
        <v>0</v>
      </c>
      <c r="K24">
        <f t="shared" si="2"/>
        <v>0</v>
      </c>
      <c r="L24" t="str">
        <f t="shared" si="3"/>
        <v>なし</v>
      </c>
    </row>
    <row r="25" spans="1:12" x14ac:dyDescent="0.65">
      <c r="A25" s="2">
        <v>46204.166666666664</v>
      </c>
      <c r="B25">
        <v>230</v>
      </c>
      <c r="C25" s="4">
        <v>0</v>
      </c>
      <c r="D25" s="4">
        <f t="shared" si="0"/>
        <v>0</v>
      </c>
      <c r="E25" s="4">
        <f t="shared" si="4"/>
        <v>0</v>
      </c>
      <c r="F25" s="4">
        <f t="shared" si="5"/>
        <v>0</v>
      </c>
      <c r="G25" s="4">
        <f t="shared" si="6"/>
        <v>0</v>
      </c>
      <c r="H25" s="4">
        <f>(const!$C$4*ruiseki!H24)+ruiseki!D25</f>
        <v>0</v>
      </c>
      <c r="I25" s="4">
        <f>(const!$D$4*ruiseki!I24)+ruiseki!D25</f>
        <v>0</v>
      </c>
      <c r="J25">
        <f t="shared" si="1"/>
        <v>0</v>
      </c>
      <c r="K25">
        <f t="shared" si="2"/>
        <v>0</v>
      </c>
      <c r="L25" t="str">
        <f t="shared" si="3"/>
        <v>なし</v>
      </c>
    </row>
    <row r="26" spans="1:12" x14ac:dyDescent="0.65">
      <c r="A26" s="2">
        <v>46204.173611111109</v>
      </c>
      <c r="B26">
        <v>240</v>
      </c>
      <c r="C26" s="4">
        <v>0</v>
      </c>
      <c r="D26" s="4">
        <f t="shared" si="0"/>
        <v>0</v>
      </c>
      <c r="E26" s="4">
        <f t="shared" si="4"/>
        <v>0</v>
      </c>
      <c r="F26" s="4">
        <f t="shared" si="5"/>
        <v>0</v>
      </c>
      <c r="G26" s="4">
        <f t="shared" si="6"/>
        <v>0</v>
      </c>
      <c r="H26" s="4">
        <f>(const!$C$4*ruiseki!H25)+ruiseki!D26</f>
        <v>0</v>
      </c>
      <c r="I26" s="4">
        <f>(const!$D$4*ruiseki!I25)+ruiseki!D26</f>
        <v>0</v>
      </c>
      <c r="J26">
        <f t="shared" si="1"/>
        <v>0</v>
      </c>
      <c r="K26">
        <f t="shared" si="2"/>
        <v>0</v>
      </c>
      <c r="L26" t="str">
        <f t="shared" si="3"/>
        <v>なし</v>
      </c>
    </row>
    <row r="27" spans="1:12" x14ac:dyDescent="0.65">
      <c r="A27" s="2">
        <v>46204.180555555555</v>
      </c>
      <c r="B27">
        <v>250</v>
      </c>
      <c r="C27" s="4">
        <v>0</v>
      </c>
      <c r="D27" s="4">
        <f t="shared" si="0"/>
        <v>0</v>
      </c>
      <c r="E27" s="4">
        <f t="shared" si="4"/>
        <v>0</v>
      </c>
      <c r="F27" s="4">
        <f t="shared" si="5"/>
        <v>0</v>
      </c>
      <c r="G27" s="4">
        <f t="shared" si="6"/>
        <v>0</v>
      </c>
      <c r="H27" s="4">
        <f>(const!$C$4*ruiseki!H26)+ruiseki!D27</f>
        <v>0</v>
      </c>
      <c r="I27" s="4">
        <f>(const!$D$4*ruiseki!I26)+ruiseki!D27</f>
        <v>0</v>
      </c>
      <c r="J27">
        <f t="shared" si="1"/>
        <v>0</v>
      </c>
      <c r="K27">
        <f t="shared" si="2"/>
        <v>0</v>
      </c>
      <c r="L27" t="str">
        <f t="shared" si="3"/>
        <v>なし</v>
      </c>
    </row>
    <row r="28" spans="1:12" x14ac:dyDescent="0.65">
      <c r="A28" s="2">
        <v>46204.1875</v>
      </c>
      <c r="B28">
        <v>260</v>
      </c>
      <c r="C28" s="4">
        <v>0</v>
      </c>
      <c r="D28" s="4">
        <f t="shared" si="0"/>
        <v>0</v>
      </c>
      <c r="E28" s="4">
        <f t="shared" si="4"/>
        <v>0</v>
      </c>
      <c r="F28" s="4">
        <f t="shared" si="5"/>
        <v>0</v>
      </c>
      <c r="G28" s="4">
        <f t="shared" si="6"/>
        <v>0</v>
      </c>
      <c r="H28" s="4">
        <f>(const!$C$4*ruiseki!H27)+ruiseki!D28</f>
        <v>0</v>
      </c>
      <c r="I28" s="4">
        <f>(const!$D$4*ruiseki!I27)+ruiseki!D28</f>
        <v>0</v>
      </c>
      <c r="J28">
        <f t="shared" si="1"/>
        <v>0</v>
      </c>
      <c r="K28">
        <f t="shared" si="2"/>
        <v>0</v>
      </c>
      <c r="L28" t="str">
        <f t="shared" si="3"/>
        <v>なし</v>
      </c>
    </row>
    <row r="29" spans="1:12" x14ac:dyDescent="0.65">
      <c r="A29" s="2">
        <v>46204.194444444445</v>
      </c>
      <c r="B29">
        <v>270</v>
      </c>
      <c r="C29" s="4">
        <v>0</v>
      </c>
      <c r="D29" s="4">
        <f t="shared" si="0"/>
        <v>0</v>
      </c>
      <c r="E29" s="4">
        <f t="shared" si="4"/>
        <v>0</v>
      </c>
      <c r="F29" s="4">
        <f t="shared" si="5"/>
        <v>0</v>
      </c>
      <c r="G29" s="4">
        <f t="shared" si="6"/>
        <v>0</v>
      </c>
      <c r="H29" s="4">
        <f>(const!$C$4*ruiseki!H28)+ruiseki!D29</f>
        <v>0</v>
      </c>
      <c r="I29" s="4">
        <f>(const!$D$4*ruiseki!I28)+ruiseki!D29</f>
        <v>0</v>
      </c>
      <c r="J29">
        <f t="shared" si="1"/>
        <v>0</v>
      </c>
      <c r="K29">
        <f t="shared" si="2"/>
        <v>0</v>
      </c>
      <c r="L29" t="str">
        <f t="shared" si="3"/>
        <v>なし</v>
      </c>
    </row>
    <row r="30" spans="1:12" x14ac:dyDescent="0.65">
      <c r="A30" s="2">
        <v>46204.201388888891</v>
      </c>
      <c r="B30">
        <v>280</v>
      </c>
      <c r="C30" s="4">
        <v>0</v>
      </c>
      <c r="D30" s="4">
        <f t="shared" si="0"/>
        <v>0</v>
      </c>
      <c r="E30" s="4">
        <f t="shared" si="4"/>
        <v>0</v>
      </c>
      <c r="F30" s="4">
        <f t="shared" si="5"/>
        <v>0</v>
      </c>
      <c r="G30" s="4">
        <f t="shared" si="6"/>
        <v>0</v>
      </c>
      <c r="H30" s="4">
        <f>(const!$C$4*ruiseki!H29)+ruiseki!D30</f>
        <v>0</v>
      </c>
      <c r="I30" s="4">
        <f>(const!$D$4*ruiseki!I29)+ruiseki!D30</f>
        <v>0</v>
      </c>
      <c r="J30">
        <f t="shared" si="1"/>
        <v>0</v>
      </c>
      <c r="K30">
        <f t="shared" si="2"/>
        <v>0</v>
      </c>
      <c r="L30" t="str">
        <f t="shared" si="3"/>
        <v>なし</v>
      </c>
    </row>
    <row r="31" spans="1:12" x14ac:dyDescent="0.65">
      <c r="A31" s="2">
        <v>46204.208333333336</v>
      </c>
      <c r="B31">
        <v>290</v>
      </c>
      <c r="C31" s="4">
        <v>0</v>
      </c>
      <c r="D31" s="4">
        <f t="shared" si="0"/>
        <v>0</v>
      </c>
      <c r="E31" s="4">
        <f t="shared" si="4"/>
        <v>0</v>
      </c>
      <c r="F31" s="4">
        <f t="shared" si="5"/>
        <v>0</v>
      </c>
      <c r="G31" s="4">
        <f t="shared" si="6"/>
        <v>0</v>
      </c>
      <c r="H31" s="4">
        <f>(const!$C$4*ruiseki!H30)+ruiseki!D31</f>
        <v>0</v>
      </c>
      <c r="I31" s="4">
        <f>(const!$D$4*ruiseki!I30)+ruiseki!D31</f>
        <v>0</v>
      </c>
      <c r="J31">
        <f t="shared" si="1"/>
        <v>0</v>
      </c>
      <c r="K31">
        <f t="shared" si="2"/>
        <v>0</v>
      </c>
      <c r="L31" t="str">
        <f t="shared" si="3"/>
        <v>なし</v>
      </c>
    </row>
    <row r="32" spans="1:12" x14ac:dyDescent="0.65">
      <c r="A32" s="2">
        <v>46204.215277777781</v>
      </c>
      <c r="B32">
        <v>300</v>
      </c>
      <c r="C32" s="4">
        <v>0</v>
      </c>
      <c r="D32" s="4">
        <f t="shared" si="0"/>
        <v>0</v>
      </c>
      <c r="E32" s="4">
        <f t="shared" si="4"/>
        <v>0</v>
      </c>
      <c r="F32" s="4">
        <f t="shared" si="5"/>
        <v>0</v>
      </c>
      <c r="G32" s="4">
        <f t="shared" si="6"/>
        <v>0</v>
      </c>
      <c r="H32" s="4">
        <f>(const!$C$4*ruiseki!H31)+ruiseki!D32</f>
        <v>0</v>
      </c>
      <c r="I32" s="4">
        <f>(const!$D$4*ruiseki!I31)+ruiseki!D32</f>
        <v>0</v>
      </c>
      <c r="J32">
        <f t="shared" si="1"/>
        <v>0</v>
      </c>
      <c r="K32">
        <f t="shared" si="2"/>
        <v>0</v>
      </c>
      <c r="L32" t="str">
        <f t="shared" si="3"/>
        <v>なし</v>
      </c>
    </row>
    <row r="33" spans="1:12" x14ac:dyDescent="0.65">
      <c r="A33" s="2">
        <v>46204.222222222219</v>
      </c>
      <c r="B33">
        <v>310</v>
      </c>
      <c r="C33" s="4">
        <v>0</v>
      </c>
      <c r="D33" s="4">
        <f t="shared" si="0"/>
        <v>0</v>
      </c>
      <c r="E33" s="4">
        <f t="shared" si="4"/>
        <v>0</v>
      </c>
      <c r="F33" s="4">
        <f t="shared" si="5"/>
        <v>0</v>
      </c>
      <c r="G33" s="4">
        <f t="shared" si="6"/>
        <v>0</v>
      </c>
      <c r="H33" s="4">
        <f>(const!$C$4*ruiseki!H32)+ruiseki!D33</f>
        <v>0</v>
      </c>
      <c r="I33" s="4">
        <f>(const!$D$4*ruiseki!I32)+ruiseki!D33</f>
        <v>0</v>
      </c>
      <c r="J33">
        <f t="shared" si="1"/>
        <v>0</v>
      </c>
      <c r="K33">
        <f t="shared" si="2"/>
        <v>0</v>
      </c>
      <c r="L33" t="str">
        <f t="shared" si="3"/>
        <v>なし</v>
      </c>
    </row>
    <row r="34" spans="1:12" x14ac:dyDescent="0.65">
      <c r="A34" s="2">
        <v>46204.229166666664</v>
      </c>
      <c r="B34">
        <v>320</v>
      </c>
      <c r="C34" s="4">
        <v>0</v>
      </c>
      <c r="D34" s="4">
        <f t="shared" si="0"/>
        <v>0</v>
      </c>
      <c r="E34" s="4">
        <f t="shared" si="4"/>
        <v>0</v>
      </c>
      <c r="F34" s="4">
        <f t="shared" si="5"/>
        <v>0</v>
      </c>
      <c r="G34" s="4">
        <f t="shared" si="6"/>
        <v>0</v>
      </c>
      <c r="H34" s="4">
        <f>(const!$C$4*ruiseki!H33)+ruiseki!D34</f>
        <v>0</v>
      </c>
      <c r="I34" s="4">
        <f>(const!$D$4*ruiseki!I33)+ruiseki!D34</f>
        <v>0</v>
      </c>
      <c r="J34">
        <f t="shared" si="1"/>
        <v>0</v>
      </c>
      <c r="K34">
        <f t="shared" si="2"/>
        <v>0</v>
      </c>
      <c r="L34" t="str">
        <f t="shared" si="3"/>
        <v>なし</v>
      </c>
    </row>
    <row r="35" spans="1:12" x14ac:dyDescent="0.65">
      <c r="A35" s="2">
        <v>46204.236111111109</v>
      </c>
      <c r="B35">
        <v>330</v>
      </c>
      <c r="C35" s="4">
        <v>0</v>
      </c>
      <c r="D35" s="4">
        <f t="shared" si="0"/>
        <v>0</v>
      </c>
      <c r="E35" s="4">
        <f t="shared" si="4"/>
        <v>0</v>
      </c>
      <c r="F35" s="4">
        <f t="shared" si="5"/>
        <v>0</v>
      </c>
      <c r="G35" s="4">
        <f t="shared" si="6"/>
        <v>0</v>
      </c>
      <c r="H35" s="4">
        <f>(const!$C$4*ruiseki!H34)+ruiseki!D35</f>
        <v>0</v>
      </c>
      <c r="I35" s="4">
        <f>(const!$D$4*ruiseki!I34)+ruiseki!D35</f>
        <v>0</v>
      </c>
      <c r="J35">
        <f t="shared" si="1"/>
        <v>0</v>
      </c>
      <c r="K35">
        <f t="shared" si="2"/>
        <v>0</v>
      </c>
      <c r="L35" t="str">
        <f t="shared" si="3"/>
        <v>なし</v>
      </c>
    </row>
    <row r="36" spans="1:12" x14ac:dyDescent="0.65">
      <c r="A36" s="2">
        <v>46204.243055555555</v>
      </c>
      <c r="B36">
        <v>340</v>
      </c>
      <c r="C36" s="4">
        <v>0</v>
      </c>
      <c r="D36" s="4">
        <f t="shared" si="0"/>
        <v>0</v>
      </c>
      <c r="E36" s="4">
        <f t="shared" si="4"/>
        <v>0</v>
      </c>
      <c r="F36" s="4">
        <f t="shared" si="5"/>
        <v>0</v>
      </c>
      <c r="G36" s="4">
        <f t="shared" si="6"/>
        <v>0</v>
      </c>
      <c r="H36" s="4">
        <f>(const!$C$4*ruiseki!H35)+ruiseki!D36</f>
        <v>0</v>
      </c>
      <c r="I36" s="4">
        <f>(const!$D$4*ruiseki!I35)+ruiseki!D36</f>
        <v>0</v>
      </c>
      <c r="J36">
        <f t="shared" si="1"/>
        <v>0</v>
      </c>
      <c r="K36">
        <f t="shared" si="2"/>
        <v>0</v>
      </c>
      <c r="L36" t="str">
        <f t="shared" si="3"/>
        <v>なし</v>
      </c>
    </row>
    <row r="37" spans="1:12" x14ac:dyDescent="0.65">
      <c r="A37" s="2">
        <v>46204.25</v>
      </c>
      <c r="B37">
        <v>350</v>
      </c>
      <c r="C37" s="4">
        <v>0</v>
      </c>
      <c r="D37" s="4">
        <f t="shared" si="0"/>
        <v>0</v>
      </c>
      <c r="E37" s="4">
        <f t="shared" si="4"/>
        <v>0</v>
      </c>
      <c r="F37" s="4">
        <f t="shared" si="5"/>
        <v>0</v>
      </c>
      <c r="G37" s="4">
        <f t="shared" si="6"/>
        <v>0</v>
      </c>
      <c r="H37" s="4">
        <f>(const!$C$4*ruiseki!H36)+ruiseki!D37</f>
        <v>0</v>
      </c>
      <c r="I37" s="4">
        <f>(const!$D$4*ruiseki!I36)+ruiseki!D37</f>
        <v>0</v>
      </c>
      <c r="J37">
        <f t="shared" si="1"/>
        <v>0</v>
      </c>
      <c r="K37">
        <f t="shared" si="2"/>
        <v>0</v>
      </c>
      <c r="L37" t="str">
        <f t="shared" si="3"/>
        <v>なし</v>
      </c>
    </row>
    <row r="38" spans="1:12" x14ac:dyDescent="0.65">
      <c r="A38" s="2">
        <v>46204.256944444445</v>
      </c>
      <c r="B38">
        <v>360</v>
      </c>
      <c r="C38" s="4">
        <v>0</v>
      </c>
      <c r="D38" s="4">
        <f t="shared" si="0"/>
        <v>0</v>
      </c>
      <c r="E38" s="4">
        <f t="shared" si="4"/>
        <v>0</v>
      </c>
      <c r="F38" s="4">
        <f t="shared" si="5"/>
        <v>0</v>
      </c>
      <c r="G38" s="4">
        <f t="shared" si="6"/>
        <v>0</v>
      </c>
      <c r="H38" s="4">
        <f>(const!$C$4*ruiseki!H37)+ruiseki!D38</f>
        <v>0</v>
      </c>
      <c r="I38" s="4">
        <f>(const!$D$4*ruiseki!I37)+ruiseki!D38</f>
        <v>0</v>
      </c>
      <c r="J38">
        <f t="shared" si="1"/>
        <v>0</v>
      </c>
      <c r="K38">
        <f t="shared" si="2"/>
        <v>0</v>
      </c>
      <c r="L38" t="str">
        <f t="shared" si="3"/>
        <v>なし</v>
      </c>
    </row>
    <row r="39" spans="1:12" x14ac:dyDescent="0.65">
      <c r="A39" s="2">
        <v>46204.263888888891</v>
      </c>
      <c r="B39">
        <v>370</v>
      </c>
      <c r="C39" s="4">
        <v>0</v>
      </c>
      <c r="D39" s="4">
        <f t="shared" si="0"/>
        <v>0</v>
      </c>
      <c r="E39" s="4">
        <f t="shared" si="4"/>
        <v>0</v>
      </c>
      <c r="F39" s="4">
        <f t="shared" si="5"/>
        <v>0</v>
      </c>
      <c r="G39" s="4">
        <f t="shared" si="6"/>
        <v>0</v>
      </c>
      <c r="H39" s="4">
        <f>(const!$C$4*ruiseki!H38)+ruiseki!D39</f>
        <v>0</v>
      </c>
      <c r="I39" s="4">
        <f>(const!$D$4*ruiseki!I38)+ruiseki!D39</f>
        <v>0</v>
      </c>
      <c r="J39">
        <f t="shared" si="1"/>
        <v>0</v>
      </c>
      <c r="K39">
        <f t="shared" si="2"/>
        <v>0</v>
      </c>
      <c r="L39" t="str">
        <f t="shared" si="3"/>
        <v>なし</v>
      </c>
    </row>
    <row r="40" spans="1:12" x14ac:dyDescent="0.65">
      <c r="A40" s="2">
        <v>46204.270833333336</v>
      </c>
      <c r="B40">
        <v>380</v>
      </c>
      <c r="C40" s="4">
        <v>0</v>
      </c>
      <c r="D40" s="4">
        <f t="shared" si="0"/>
        <v>0</v>
      </c>
      <c r="E40" s="4">
        <f t="shared" si="4"/>
        <v>0</v>
      </c>
      <c r="F40" s="4">
        <f t="shared" si="5"/>
        <v>0</v>
      </c>
      <c r="G40" s="4">
        <f t="shared" si="6"/>
        <v>0</v>
      </c>
      <c r="H40" s="4">
        <f>(const!$C$4*ruiseki!H39)+ruiseki!D40</f>
        <v>0</v>
      </c>
      <c r="I40" s="4">
        <f>(const!$D$4*ruiseki!I39)+ruiseki!D40</f>
        <v>0</v>
      </c>
      <c r="J40">
        <f t="shared" si="1"/>
        <v>0</v>
      </c>
      <c r="K40">
        <f t="shared" si="2"/>
        <v>0</v>
      </c>
      <c r="L40" t="str">
        <f t="shared" si="3"/>
        <v>なし</v>
      </c>
    </row>
    <row r="41" spans="1:12" x14ac:dyDescent="0.65">
      <c r="A41" s="2">
        <v>46204.277777777781</v>
      </c>
      <c r="B41">
        <v>390</v>
      </c>
      <c r="C41" s="4">
        <v>0</v>
      </c>
      <c r="D41" s="4">
        <f t="shared" si="0"/>
        <v>0</v>
      </c>
      <c r="E41" s="4">
        <f t="shared" si="4"/>
        <v>0</v>
      </c>
      <c r="F41" s="4">
        <f t="shared" si="5"/>
        <v>0</v>
      </c>
      <c r="G41" s="4">
        <f t="shared" si="6"/>
        <v>0</v>
      </c>
      <c r="H41" s="4">
        <f>(const!$C$4*ruiseki!H40)+ruiseki!D41</f>
        <v>0</v>
      </c>
      <c r="I41" s="4">
        <f>(const!$D$4*ruiseki!I40)+ruiseki!D41</f>
        <v>0</v>
      </c>
      <c r="J41">
        <f t="shared" si="1"/>
        <v>0</v>
      </c>
      <c r="K41">
        <f t="shared" si="2"/>
        <v>0</v>
      </c>
      <c r="L41" t="str">
        <f t="shared" si="3"/>
        <v>なし</v>
      </c>
    </row>
    <row r="42" spans="1:12" x14ac:dyDescent="0.65">
      <c r="A42" s="2">
        <v>46204.284722222219</v>
      </c>
      <c r="B42">
        <v>400</v>
      </c>
      <c r="C42" s="4">
        <v>0</v>
      </c>
      <c r="D42" s="4">
        <f t="shared" si="0"/>
        <v>0</v>
      </c>
      <c r="E42" s="4">
        <f t="shared" si="4"/>
        <v>0</v>
      </c>
      <c r="F42" s="4">
        <f t="shared" si="5"/>
        <v>0</v>
      </c>
      <c r="G42" s="4">
        <f t="shared" si="6"/>
        <v>0</v>
      </c>
      <c r="H42" s="4">
        <f>(const!$C$4*ruiseki!H41)+ruiseki!D42</f>
        <v>0</v>
      </c>
      <c r="I42" s="4">
        <f>(const!$D$4*ruiseki!I41)+ruiseki!D42</f>
        <v>0</v>
      </c>
      <c r="J42">
        <f t="shared" si="1"/>
        <v>0</v>
      </c>
      <c r="K42">
        <f t="shared" si="2"/>
        <v>0</v>
      </c>
      <c r="L42" t="str">
        <f t="shared" si="3"/>
        <v>なし</v>
      </c>
    </row>
    <row r="43" spans="1:12" x14ac:dyDescent="0.65">
      <c r="A43" s="2">
        <v>46204.291666666664</v>
      </c>
      <c r="B43">
        <v>410</v>
      </c>
      <c r="C43" s="4">
        <v>0</v>
      </c>
      <c r="D43" s="4">
        <f t="shared" si="0"/>
        <v>0</v>
      </c>
      <c r="E43" s="4">
        <f t="shared" si="4"/>
        <v>0</v>
      </c>
      <c r="F43" s="4">
        <f t="shared" si="5"/>
        <v>0</v>
      </c>
      <c r="G43" s="4">
        <f t="shared" si="6"/>
        <v>0</v>
      </c>
      <c r="H43" s="4">
        <f>(const!$C$4*ruiseki!H42)+ruiseki!D43</f>
        <v>0</v>
      </c>
      <c r="I43" s="4">
        <f>(const!$D$4*ruiseki!I42)+ruiseki!D43</f>
        <v>0</v>
      </c>
      <c r="J43">
        <f t="shared" si="1"/>
        <v>0</v>
      </c>
      <c r="K43">
        <f t="shared" si="2"/>
        <v>0</v>
      </c>
      <c r="L43" t="str">
        <f t="shared" si="3"/>
        <v>なし</v>
      </c>
    </row>
    <row r="44" spans="1:12" x14ac:dyDescent="0.65">
      <c r="A44" s="2">
        <v>46204.298611111109</v>
      </c>
      <c r="B44">
        <v>420</v>
      </c>
      <c r="C44" s="4">
        <v>0</v>
      </c>
      <c r="D44" s="4">
        <f t="shared" si="0"/>
        <v>0</v>
      </c>
      <c r="E44" s="4">
        <f t="shared" si="4"/>
        <v>0</v>
      </c>
      <c r="F44" s="4">
        <f t="shared" si="5"/>
        <v>0</v>
      </c>
      <c r="G44" s="4">
        <f t="shared" si="6"/>
        <v>0</v>
      </c>
      <c r="H44" s="4">
        <f>(const!$C$4*ruiseki!H43)+ruiseki!D44</f>
        <v>0</v>
      </c>
      <c r="I44" s="4">
        <f>(const!$D$4*ruiseki!I43)+ruiseki!D44</f>
        <v>0</v>
      </c>
      <c r="J44">
        <f t="shared" si="1"/>
        <v>0</v>
      </c>
      <c r="K44">
        <f t="shared" si="2"/>
        <v>0</v>
      </c>
      <c r="L44" t="str">
        <f t="shared" si="3"/>
        <v>なし</v>
      </c>
    </row>
    <row r="45" spans="1:12" x14ac:dyDescent="0.65">
      <c r="A45" s="2">
        <v>46204.305555555555</v>
      </c>
      <c r="B45">
        <v>430</v>
      </c>
      <c r="C45" s="4">
        <v>0</v>
      </c>
      <c r="D45" s="4">
        <f t="shared" si="0"/>
        <v>0</v>
      </c>
      <c r="E45" s="4">
        <f t="shared" si="4"/>
        <v>0</v>
      </c>
      <c r="F45" s="4">
        <f t="shared" si="5"/>
        <v>0</v>
      </c>
      <c r="G45" s="4">
        <f t="shared" si="6"/>
        <v>0</v>
      </c>
      <c r="H45" s="4">
        <f>(const!$C$4*ruiseki!H44)+ruiseki!D45</f>
        <v>0</v>
      </c>
      <c r="I45" s="4">
        <f>(const!$D$4*ruiseki!I44)+ruiseki!D45</f>
        <v>0</v>
      </c>
      <c r="J45">
        <f t="shared" si="1"/>
        <v>0</v>
      </c>
      <c r="K45">
        <f t="shared" si="2"/>
        <v>0</v>
      </c>
      <c r="L45" t="str">
        <f t="shared" si="3"/>
        <v>なし</v>
      </c>
    </row>
    <row r="46" spans="1:12" x14ac:dyDescent="0.65">
      <c r="A46" s="2">
        <v>46204.3125</v>
      </c>
      <c r="B46">
        <v>440</v>
      </c>
      <c r="C46" s="4">
        <v>0</v>
      </c>
      <c r="D46" s="4">
        <f t="shared" si="0"/>
        <v>0</v>
      </c>
      <c r="E46" s="4">
        <f t="shared" si="4"/>
        <v>0</v>
      </c>
      <c r="F46" s="4">
        <f t="shared" si="5"/>
        <v>0</v>
      </c>
      <c r="G46" s="4">
        <f t="shared" si="6"/>
        <v>0</v>
      </c>
      <c r="H46" s="4">
        <f>(const!$C$4*ruiseki!H45)+ruiseki!D46</f>
        <v>0</v>
      </c>
      <c r="I46" s="4">
        <f>(const!$D$4*ruiseki!I45)+ruiseki!D46</f>
        <v>0</v>
      </c>
      <c r="J46">
        <f t="shared" si="1"/>
        <v>0</v>
      </c>
      <c r="K46">
        <f t="shared" si="2"/>
        <v>0</v>
      </c>
      <c r="L46" t="str">
        <f t="shared" si="3"/>
        <v>なし</v>
      </c>
    </row>
    <row r="47" spans="1:12" x14ac:dyDescent="0.65">
      <c r="A47" s="2">
        <v>46204.319444444445</v>
      </c>
      <c r="B47">
        <v>450</v>
      </c>
      <c r="C47" s="4">
        <v>0</v>
      </c>
      <c r="D47" s="4">
        <f t="shared" si="0"/>
        <v>0</v>
      </c>
      <c r="E47" s="4">
        <f t="shared" si="4"/>
        <v>0</v>
      </c>
      <c r="F47" s="4">
        <f t="shared" si="5"/>
        <v>0</v>
      </c>
      <c r="G47" s="4">
        <f t="shared" si="6"/>
        <v>0</v>
      </c>
      <c r="H47" s="4">
        <f>(const!$C$4*ruiseki!H46)+ruiseki!D47</f>
        <v>0</v>
      </c>
      <c r="I47" s="4">
        <f>(const!$D$4*ruiseki!I46)+ruiseki!D47</f>
        <v>0</v>
      </c>
      <c r="J47">
        <f t="shared" si="1"/>
        <v>0</v>
      </c>
      <c r="K47">
        <f t="shared" si="2"/>
        <v>0</v>
      </c>
      <c r="L47" t="str">
        <f t="shared" si="3"/>
        <v>なし</v>
      </c>
    </row>
    <row r="48" spans="1:12" x14ac:dyDescent="0.65">
      <c r="A48" s="2">
        <v>46204.326388888891</v>
      </c>
      <c r="B48">
        <v>460</v>
      </c>
      <c r="C48" s="4">
        <v>0</v>
      </c>
      <c r="D48" s="4">
        <f t="shared" si="0"/>
        <v>0</v>
      </c>
      <c r="E48" s="4">
        <f t="shared" si="4"/>
        <v>0</v>
      </c>
      <c r="F48" s="4">
        <f t="shared" si="5"/>
        <v>0</v>
      </c>
      <c r="G48" s="4">
        <f t="shared" si="6"/>
        <v>0</v>
      </c>
      <c r="H48" s="4">
        <f>(const!$C$4*ruiseki!H47)+ruiseki!D48</f>
        <v>0</v>
      </c>
      <c r="I48" s="4">
        <f>(const!$D$4*ruiseki!I47)+ruiseki!D48</f>
        <v>0</v>
      </c>
      <c r="J48">
        <f t="shared" si="1"/>
        <v>0</v>
      </c>
      <c r="K48">
        <f t="shared" si="2"/>
        <v>0</v>
      </c>
      <c r="L48" t="str">
        <f t="shared" si="3"/>
        <v>なし</v>
      </c>
    </row>
    <row r="49" spans="1:12" x14ac:dyDescent="0.65">
      <c r="A49" s="2">
        <v>46204.333333333336</v>
      </c>
      <c r="B49">
        <v>470</v>
      </c>
      <c r="C49" s="4">
        <v>0</v>
      </c>
      <c r="D49" s="4">
        <f t="shared" si="0"/>
        <v>0</v>
      </c>
      <c r="E49" s="4">
        <f t="shared" si="4"/>
        <v>0</v>
      </c>
      <c r="F49" s="4">
        <f t="shared" si="5"/>
        <v>0</v>
      </c>
      <c r="G49" s="4">
        <f t="shared" si="6"/>
        <v>0</v>
      </c>
      <c r="H49" s="4">
        <f>(const!$C$4*ruiseki!H48)+ruiseki!D49</f>
        <v>0</v>
      </c>
      <c r="I49" s="4">
        <f>(const!$D$4*ruiseki!I48)+ruiseki!D49</f>
        <v>0</v>
      </c>
      <c r="J49">
        <f t="shared" si="1"/>
        <v>0</v>
      </c>
      <c r="K49">
        <f t="shared" si="2"/>
        <v>0</v>
      </c>
      <c r="L49" t="str">
        <f t="shared" si="3"/>
        <v>なし</v>
      </c>
    </row>
    <row r="50" spans="1:12" x14ac:dyDescent="0.65">
      <c r="A50" s="2">
        <v>46204.340277777781</v>
      </c>
      <c r="B50">
        <v>480</v>
      </c>
      <c r="C50" s="4">
        <v>0</v>
      </c>
      <c r="D50" s="4">
        <f t="shared" si="0"/>
        <v>0</v>
      </c>
      <c r="E50" s="4">
        <f t="shared" si="4"/>
        <v>0</v>
      </c>
      <c r="F50" s="4">
        <f t="shared" si="5"/>
        <v>0</v>
      </c>
      <c r="G50" s="4">
        <f t="shared" si="6"/>
        <v>0</v>
      </c>
      <c r="H50" s="4">
        <f>(const!$C$4*ruiseki!H49)+ruiseki!D50</f>
        <v>0</v>
      </c>
      <c r="I50" s="4">
        <f>(const!$D$4*ruiseki!I49)+ruiseki!D50</f>
        <v>0</v>
      </c>
      <c r="J50">
        <f t="shared" si="1"/>
        <v>0</v>
      </c>
      <c r="K50">
        <f t="shared" si="2"/>
        <v>0</v>
      </c>
      <c r="L50" t="str">
        <f t="shared" si="3"/>
        <v>なし</v>
      </c>
    </row>
    <row r="51" spans="1:12" x14ac:dyDescent="0.65">
      <c r="A51" s="2">
        <v>46204.347222222219</v>
      </c>
      <c r="B51">
        <v>490</v>
      </c>
      <c r="C51" s="4">
        <v>0</v>
      </c>
      <c r="D51" s="4">
        <f t="shared" si="0"/>
        <v>0</v>
      </c>
      <c r="E51" s="4">
        <f t="shared" si="4"/>
        <v>0</v>
      </c>
      <c r="F51" s="4">
        <f t="shared" si="5"/>
        <v>0</v>
      </c>
      <c r="G51" s="4">
        <f t="shared" si="6"/>
        <v>0</v>
      </c>
      <c r="H51" s="4">
        <f>(const!$C$4*ruiseki!H50)+ruiseki!D51</f>
        <v>0</v>
      </c>
      <c r="I51" s="4">
        <f>(const!$D$4*ruiseki!I50)+ruiseki!D51</f>
        <v>0</v>
      </c>
      <c r="J51">
        <f t="shared" si="1"/>
        <v>0</v>
      </c>
      <c r="K51">
        <f t="shared" si="2"/>
        <v>0</v>
      </c>
      <c r="L51" t="str">
        <f t="shared" si="3"/>
        <v>なし</v>
      </c>
    </row>
    <row r="52" spans="1:12" x14ac:dyDescent="0.65">
      <c r="A52" s="2">
        <v>46204.354166666664</v>
      </c>
      <c r="B52">
        <v>500</v>
      </c>
      <c r="C52" s="4">
        <v>0</v>
      </c>
      <c r="D52" s="4">
        <f t="shared" si="0"/>
        <v>0</v>
      </c>
      <c r="E52" s="4">
        <f t="shared" si="4"/>
        <v>0</v>
      </c>
      <c r="F52" s="4">
        <f t="shared" si="5"/>
        <v>0</v>
      </c>
      <c r="G52" s="4">
        <f t="shared" si="6"/>
        <v>0</v>
      </c>
      <c r="H52" s="4">
        <f>(const!$C$4*ruiseki!H51)+ruiseki!D52</f>
        <v>0</v>
      </c>
      <c r="I52" s="4">
        <f>(const!$D$4*ruiseki!I51)+ruiseki!D52</f>
        <v>0</v>
      </c>
      <c r="J52">
        <f t="shared" si="1"/>
        <v>0</v>
      </c>
      <c r="K52">
        <f t="shared" si="2"/>
        <v>0</v>
      </c>
      <c r="L52" t="str">
        <f t="shared" si="3"/>
        <v>なし</v>
      </c>
    </row>
    <row r="53" spans="1:12" x14ac:dyDescent="0.65">
      <c r="A53" s="2">
        <v>46204.361111111109</v>
      </c>
      <c r="B53">
        <v>510</v>
      </c>
      <c r="C53" s="4">
        <v>0</v>
      </c>
      <c r="D53" s="4">
        <f t="shared" si="0"/>
        <v>0</v>
      </c>
      <c r="E53" s="4">
        <f t="shared" si="4"/>
        <v>0</v>
      </c>
      <c r="F53" s="4">
        <f t="shared" si="5"/>
        <v>0</v>
      </c>
      <c r="G53" s="4">
        <f t="shared" si="6"/>
        <v>0</v>
      </c>
      <c r="H53" s="4">
        <f>(const!$C$4*ruiseki!H52)+ruiseki!D53</f>
        <v>0</v>
      </c>
      <c r="I53" s="4">
        <f>(const!$D$4*ruiseki!I52)+ruiseki!D53</f>
        <v>0</v>
      </c>
      <c r="J53">
        <f t="shared" si="1"/>
        <v>0</v>
      </c>
      <c r="K53">
        <f t="shared" si="2"/>
        <v>0</v>
      </c>
      <c r="L53" t="str">
        <f t="shared" si="3"/>
        <v>なし</v>
      </c>
    </row>
    <row r="54" spans="1:12" x14ac:dyDescent="0.65">
      <c r="A54" s="2">
        <v>46204.368055555555</v>
      </c>
      <c r="B54">
        <v>520</v>
      </c>
      <c r="C54" s="4">
        <v>0</v>
      </c>
      <c r="D54" s="4">
        <f t="shared" si="0"/>
        <v>0</v>
      </c>
      <c r="E54" s="4">
        <f t="shared" si="4"/>
        <v>0</v>
      </c>
      <c r="F54" s="4">
        <f t="shared" si="5"/>
        <v>0</v>
      </c>
      <c r="G54" s="4">
        <f t="shared" si="6"/>
        <v>0</v>
      </c>
      <c r="H54" s="4">
        <f>(const!$C$4*ruiseki!H53)+ruiseki!D54</f>
        <v>0</v>
      </c>
      <c r="I54" s="4">
        <f>(const!$D$4*ruiseki!I53)+ruiseki!D54</f>
        <v>0</v>
      </c>
      <c r="J54">
        <f t="shared" si="1"/>
        <v>0</v>
      </c>
      <c r="K54">
        <f t="shared" si="2"/>
        <v>0</v>
      </c>
      <c r="L54" t="str">
        <f t="shared" si="3"/>
        <v>なし</v>
      </c>
    </row>
    <row r="55" spans="1:12" x14ac:dyDescent="0.65">
      <c r="A55" s="2">
        <v>46204.375</v>
      </c>
      <c r="B55">
        <v>530</v>
      </c>
      <c r="C55" s="4">
        <v>0</v>
      </c>
      <c r="D55" s="4">
        <f t="shared" si="0"/>
        <v>0</v>
      </c>
      <c r="E55" s="4">
        <f t="shared" si="4"/>
        <v>0</v>
      </c>
      <c r="F55" s="4">
        <f t="shared" si="5"/>
        <v>0</v>
      </c>
      <c r="G55" s="4">
        <f t="shared" si="6"/>
        <v>0</v>
      </c>
      <c r="H55" s="4">
        <f>(const!$C$4*ruiseki!H54)+ruiseki!D55</f>
        <v>0</v>
      </c>
      <c r="I55" s="4">
        <f>(const!$D$4*ruiseki!I54)+ruiseki!D55</f>
        <v>0</v>
      </c>
      <c r="J55">
        <f t="shared" si="1"/>
        <v>0</v>
      </c>
      <c r="K55">
        <f t="shared" si="2"/>
        <v>0</v>
      </c>
      <c r="L55" t="str">
        <f t="shared" si="3"/>
        <v>なし</v>
      </c>
    </row>
    <row r="56" spans="1:12" x14ac:dyDescent="0.65">
      <c r="A56" s="2">
        <v>46204.381944444445</v>
      </c>
      <c r="B56">
        <v>540</v>
      </c>
      <c r="C56" s="4">
        <v>0</v>
      </c>
      <c r="D56" s="4">
        <f t="shared" si="0"/>
        <v>0</v>
      </c>
      <c r="E56" s="4">
        <f t="shared" si="4"/>
        <v>0</v>
      </c>
      <c r="F56" s="4">
        <f t="shared" si="5"/>
        <v>0</v>
      </c>
      <c r="G56" s="4">
        <f t="shared" si="6"/>
        <v>0</v>
      </c>
      <c r="H56" s="4">
        <f>(const!$C$4*ruiseki!H55)+ruiseki!D56</f>
        <v>0</v>
      </c>
      <c r="I56" s="4">
        <f>(const!$D$4*ruiseki!I55)+ruiseki!D56</f>
        <v>0</v>
      </c>
      <c r="J56">
        <f t="shared" si="1"/>
        <v>0</v>
      </c>
      <c r="K56">
        <f t="shared" si="2"/>
        <v>0</v>
      </c>
      <c r="L56" t="str">
        <f t="shared" si="3"/>
        <v>なし</v>
      </c>
    </row>
    <row r="57" spans="1:12" x14ac:dyDescent="0.65">
      <c r="A57" s="2">
        <v>46204.388888888891</v>
      </c>
      <c r="B57">
        <v>550</v>
      </c>
      <c r="C57" s="4">
        <v>0</v>
      </c>
      <c r="D57" s="4">
        <f t="shared" si="0"/>
        <v>0</v>
      </c>
      <c r="E57" s="4">
        <f t="shared" si="4"/>
        <v>0</v>
      </c>
      <c r="F57" s="4">
        <f t="shared" si="5"/>
        <v>0</v>
      </c>
      <c r="G57" s="4">
        <f t="shared" si="6"/>
        <v>0</v>
      </c>
      <c r="H57" s="4">
        <f>(const!$C$4*ruiseki!H56)+ruiseki!D57</f>
        <v>0</v>
      </c>
      <c r="I57" s="4">
        <f>(const!$D$4*ruiseki!I56)+ruiseki!D57</f>
        <v>0</v>
      </c>
      <c r="J57">
        <f t="shared" si="1"/>
        <v>0</v>
      </c>
      <c r="K57">
        <f t="shared" si="2"/>
        <v>0</v>
      </c>
      <c r="L57" t="str">
        <f t="shared" si="3"/>
        <v>なし</v>
      </c>
    </row>
    <row r="58" spans="1:12" x14ac:dyDescent="0.65">
      <c r="A58" s="2">
        <v>46204.395833333336</v>
      </c>
      <c r="B58">
        <v>560</v>
      </c>
      <c r="C58" s="4">
        <v>0</v>
      </c>
      <c r="D58" s="4">
        <f t="shared" si="0"/>
        <v>0</v>
      </c>
      <c r="E58" s="4">
        <f t="shared" si="4"/>
        <v>0</v>
      </c>
      <c r="F58" s="4">
        <f t="shared" si="5"/>
        <v>0</v>
      </c>
      <c r="G58" s="4">
        <f t="shared" si="6"/>
        <v>0</v>
      </c>
      <c r="H58" s="4">
        <f>(const!$C$4*ruiseki!H57)+ruiseki!D58</f>
        <v>0</v>
      </c>
      <c r="I58" s="4">
        <f>(const!$D$4*ruiseki!I57)+ruiseki!D58</f>
        <v>0</v>
      </c>
      <c r="J58">
        <f t="shared" si="1"/>
        <v>0</v>
      </c>
      <c r="K58">
        <f t="shared" si="2"/>
        <v>0</v>
      </c>
      <c r="L58" t="str">
        <f t="shared" si="3"/>
        <v>なし</v>
      </c>
    </row>
    <row r="59" spans="1:12" x14ac:dyDescent="0.65">
      <c r="A59" s="2">
        <v>46204.402777777781</v>
      </c>
      <c r="B59">
        <v>570</v>
      </c>
      <c r="C59" s="4">
        <v>0.5</v>
      </c>
      <c r="D59" s="4">
        <f t="shared" si="0"/>
        <v>0.5</v>
      </c>
      <c r="E59" s="4">
        <f t="shared" si="4"/>
        <v>0.5</v>
      </c>
      <c r="F59" s="4">
        <f t="shared" si="5"/>
        <v>8.3333333333333329E-2</v>
      </c>
      <c r="G59" s="4">
        <f t="shared" si="6"/>
        <v>2.7777777777777776E-2</v>
      </c>
      <c r="H59" s="4">
        <f>(const!$C$4*ruiseki!H58)+ruiseki!D59</f>
        <v>0.5</v>
      </c>
      <c r="I59" s="4">
        <f>(const!$D$4*ruiseki!I58)+ruiseki!D59</f>
        <v>0.5</v>
      </c>
      <c r="J59">
        <f t="shared" si="1"/>
        <v>0</v>
      </c>
      <c r="K59">
        <f t="shared" si="2"/>
        <v>0</v>
      </c>
      <c r="L59" t="str">
        <f t="shared" si="3"/>
        <v>なし</v>
      </c>
    </row>
    <row r="60" spans="1:12" x14ac:dyDescent="0.65">
      <c r="A60" s="2">
        <v>46204.409722222219</v>
      </c>
      <c r="B60">
        <v>580</v>
      </c>
      <c r="C60" s="4">
        <v>1</v>
      </c>
      <c r="D60" s="4">
        <f t="shared" si="0"/>
        <v>1</v>
      </c>
      <c r="E60" s="4">
        <f t="shared" si="4"/>
        <v>1.5</v>
      </c>
      <c r="F60" s="4">
        <f t="shared" si="5"/>
        <v>0.25</v>
      </c>
      <c r="G60" s="4">
        <f t="shared" si="6"/>
        <v>8.3333333333333329E-2</v>
      </c>
      <c r="H60" s="4">
        <f>(const!$C$4*ruiseki!H59)+ruiseki!D60</f>
        <v>1.4629373561436452</v>
      </c>
      <c r="I60" s="4">
        <f>(const!$D$4*ruiseki!I59)+ruiseki!D60</f>
        <v>1.4991983895856773</v>
      </c>
      <c r="J60">
        <f t="shared" si="1"/>
        <v>0</v>
      </c>
      <c r="K60">
        <f t="shared" si="2"/>
        <v>0</v>
      </c>
      <c r="L60" t="str">
        <f t="shared" si="3"/>
        <v>なし</v>
      </c>
    </row>
    <row r="61" spans="1:12" x14ac:dyDescent="0.65">
      <c r="A61" s="2">
        <v>46204.416666666664</v>
      </c>
      <c r="B61">
        <v>590</v>
      </c>
      <c r="C61" s="4">
        <v>1</v>
      </c>
      <c r="D61" s="4">
        <f t="shared" si="0"/>
        <v>1</v>
      </c>
      <c r="E61" s="4">
        <f t="shared" si="4"/>
        <v>2.5</v>
      </c>
      <c r="F61" s="4">
        <f t="shared" si="5"/>
        <v>0.41666666666666669</v>
      </c>
      <c r="G61" s="4">
        <f t="shared" si="6"/>
        <v>0.1388888888888889</v>
      </c>
      <c r="H61" s="4">
        <f>(const!$C$4*ruiseki!H60)+ruiseki!D61</f>
        <v>2.3544967037138269</v>
      </c>
      <c r="I61" s="4">
        <f>(const!$D$4*ruiseki!I60)+ruiseki!D61</f>
        <v>2.4967948435012213</v>
      </c>
      <c r="J61">
        <f t="shared" si="1"/>
        <v>0</v>
      </c>
      <c r="K61">
        <f t="shared" si="2"/>
        <v>0</v>
      </c>
      <c r="L61" t="str">
        <f t="shared" si="3"/>
        <v>なし</v>
      </c>
    </row>
    <row r="62" spans="1:12" x14ac:dyDescent="0.65">
      <c r="A62" s="2">
        <v>46204.423611111109</v>
      </c>
      <c r="B62">
        <v>600</v>
      </c>
      <c r="C62" s="4">
        <v>1.5</v>
      </c>
      <c r="D62" s="4">
        <f t="shared" si="0"/>
        <v>1.5</v>
      </c>
      <c r="E62" s="4">
        <f t="shared" si="4"/>
        <v>4</v>
      </c>
      <c r="F62" s="4">
        <f t="shared" si="5"/>
        <v>0.66666666666666663</v>
      </c>
      <c r="G62" s="4">
        <f t="shared" si="6"/>
        <v>0.22222222222222221</v>
      </c>
      <c r="H62" s="4">
        <f>(const!$C$4*ruiseki!H61)+ruiseki!D62</f>
        <v>3.6799689581324131</v>
      </c>
      <c r="I62" s="4">
        <f>(const!$D$4*ruiseki!I61)+ruiseki!D62</f>
        <v>3.992791930003265</v>
      </c>
      <c r="J62">
        <f t="shared" si="1"/>
        <v>0</v>
      </c>
      <c r="K62">
        <f t="shared" si="2"/>
        <v>0</v>
      </c>
      <c r="L62" t="str">
        <f t="shared" si="3"/>
        <v>なし</v>
      </c>
    </row>
    <row r="63" spans="1:12" x14ac:dyDescent="0.65">
      <c r="A63" s="2">
        <v>46204.430555555555</v>
      </c>
      <c r="B63">
        <v>610</v>
      </c>
      <c r="C63" s="4">
        <v>2</v>
      </c>
      <c r="D63" s="4">
        <f t="shared" si="0"/>
        <v>2</v>
      </c>
      <c r="E63" s="4">
        <f t="shared" si="4"/>
        <v>6</v>
      </c>
      <c r="F63" s="4">
        <f t="shared" si="5"/>
        <v>1</v>
      </c>
      <c r="G63" s="4">
        <f t="shared" si="6"/>
        <v>0.33333333333333331</v>
      </c>
      <c r="H63" s="4">
        <f>(const!$C$4*ruiseki!H62)+ruiseki!D63</f>
        <v>5.4071902003370074</v>
      </c>
      <c r="I63" s="4">
        <f>(const!$D$4*ruiseki!I62)+ruiseki!D63</f>
        <v>5.9863906028166358</v>
      </c>
      <c r="J63">
        <f t="shared" si="1"/>
        <v>0</v>
      </c>
      <c r="K63">
        <f t="shared" si="2"/>
        <v>0</v>
      </c>
      <c r="L63" t="str">
        <f t="shared" si="3"/>
        <v>なし</v>
      </c>
    </row>
    <row r="64" spans="1:12" x14ac:dyDescent="0.65">
      <c r="A64" s="2">
        <v>46204.4375</v>
      </c>
      <c r="B64">
        <v>620</v>
      </c>
      <c r="C64" s="4">
        <v>1</v>
      </c>
      <c r="D64" s="4">
        <f t="shared" si="0"/>
        <v>1</v>
      </c>
      <c r="E64" s="4">
        <f t="shared" si="4"/>
        <v>7</v>
      </c>
      <c r="F64" s="4">
        <f t="shared" si="5"/>
        <v>1.1666666666666667</v>
      </c>
      <c r="G64" s="4">
        <f t="shared" si="6"/>
        <v>0.3888888888888889</v>
      </c>
      <c r="H64" s="4">
        <f>(const!$C$4*ruiseki!H63)+ruiseki!D64</f>
        <v>6.0063806710196834</v>
      </c>
      <c r="I64" s="4">
        <f>(const!$D$4*ruiseki!I63)+ruiseki!D64</f>
        <v>6.9767930967137914</v>
      </c>
      <c r="J64">
        <f t="shared" si="1"/>
        <v>0</v>
      </c>
      <c r="K64">
        <f t="shared" si="2"/>
        <v>0</v>
      </c>
      <c r="L64" t="str">
        <f t="shared" si="3"/>
        <v>なし</v>
      </c>
    </row>
    <row r="65" spans="1:12" x14ac:dyDescent="0.65">
      <c r="A65" s="2">
        <v>46204.444444444445</v>
      </c>
      <c r="B65">
        <v>630</v>
      </c>
      <c r="C65" s="4">
        <v>1</v>
      </c>
      <c r="D65" s="4">
        <f t="shared" si="0"/>
        <v>1</v>
      </c>
      <c r="E65" s="4">
        <f t="shared" si="4"/>
        <v>8</v>
      </c>
      <c r="F65" s="4">
        <f t="shared" si="5"/>
        <v>1.25</v>
      </c>
      <c r="G65" s="4">
        <f t="shared" si="6"/>
        <v>0.44444444444444442</v>
      </c>
      <c r="H65" s="4">
        <f>(const!$C$4*ruiseki!H64)+ruiseki!D65</f>
        <v>6.5611559756682922</v>
      </c>
      <c r="I65" s="4">
        <f>(const!$D$4*ruiseki!I64)+ruiseki!D65</f>
        <v>7.9656077567039887</v>
      </c>
      <c r="J65">
        <f t="shared" si="1"/>
        <v>0</v>
      </c>
      <c r="K65">
        <f t="shared" si="2"/>
        <v>0</v>
      </c>
      <c r="L65" t="str">
        <f t="shared" si="3"/>
        <v>なし</v>
      </c>
    </row>
    <row r="66" spans="1:12" x14ac:dyDescent="0.65">
      <c r="A66" s="2">
        <v>46204.451388888891</v>
      </c>
      <c r="B66">
        <v>640</v>
      </c>
      <c r="C66" s="4">
        <v>1</v>
      </c>
      <c r="D66" s="4">
        <f t="shared" si="0"/>
        <v>1</v>
      </c>
      <c r="E66" s="4">
        <f t="shared" si="4"/>
        <v>9</v>
      </c>
      <c r="F66" s="4">
        <f t="shared" si="5"/>
        <v>1.25</v>
      </c>
      <c r="G66" s="4">
        <f t="shared" si="6"/>
        <v>0.5</v>
      </c>
      <c r="H66" s="4">
        <f>(const!$C$4*ruiseki!H65)+ruiseki!D66</f>
        <v>7.0748084012439163</v>
      </c>
      <c r="I66" s="4">
        <f>(const!$D$4*ruiseki!I65)+ruiseki!D66</f>
        <v>8.9528371284356201</v>
      </c>
      <c r="J66">
        <f t="shared" si="1"/>
        <v>0</v>
      </c>
      <c r="K66">
        <f t="shared" si="2"/>
        <v>0</v>
      </c>
      <c r="L66" t="str">
        <f t="shared" si="3"/>
        <v>なし</v>
      </c>
    </row>
    <row r="67" spans="1:12" x14ac:dyDescent="0.65">
      <c r="A67" s="2">
        <v>46204.458333333336</v>
      </c>
      <c r="B67">
        <v>650</v>
      </c>
      <c r="C67" s="4">
        <v>0.5</v>
      </c>
      <c r="D67" s="4">
        <f t="shared" ref="D67:D130" si="7">IF(ISNUMBER(C67),C67,0)</f>
        <v>0.5</v>
      </c>
      <c r="E67" s="4">
        <f t="shared" si="4"/>
        <v>9.5</v>
      </c>
      <c r="F67" s="4">
        <f t="shared" si="5"/>
        <v>1.1666666666666667</v>
      </c>
      <c r="G67" s="4">
        <f t="shared" si="6"/>
        <v>0.52777777777777779</v>
      </c>
      <c r="H67" s="4">
        <f>(const!$C$4*ruiseki!H66)+ruiseki!D67</f>
        <v>7.050386192989416</v>
      </c>
      <c r="I67" s="4">
        <f>(const!$D$4*ruiseki!I66)+ruiseki!D67</f>
        <v>9.4384837534758397</v>
      </c>
      <c r="J67">
        <f t="shared" ref="J67:J130" si="8">IF(H67&gt;100,1,0)</f>
        <v>0</v>
      </c>
      <c r="K67">
        <f t="shared" ref="K67:K130" si="9">IF(I67&gt;30,1,0)</f>
        <v>0</v>
      </c>
      <c r="L67" t="str">
        <f t="shared" ref="L67:L130" si="10">IF(J67&gt;0,IF(K67&gt;0,"緊急避難","短期注意"),IF(K67&gt;0,"長期注意","なし"))</f>
        <v>なし</v>
      </c>
    </row>
    <row r="68" spans="1:12" x14ac:dyDescent="0.65">
      <c r="A68" s="2">
        <v>46204.465277777781</v>
      </c>
      <c r="B68">
        <v>660</v>
      </c>
      <c r="C68" s="4">
        <v>0.5</v>
      </c>
      <c r="D68" s="4">
        <f t="shared" si="7"/>
        <v>0.5</v>
      </c>
      <c r="E68" s="4">
        <f t="shared" ref="E68:E131" si="11">E67+D68</f>
        <v>10</v>
      </c>
      <c r="F68" s="4">
        <f t="shared" si="5"/>
        <v>1</v>
      </c>
      <c r="G68" s="4">
        <f t="shared" si="6"/>
        <v>0.55555555555555558</v>
      </c>
      <c r="H68" s="4">
        <f>(const!$C$4*ruiseki!H67)+ruiseki!D68</f>
        <v>7.0277742879483611</v>
      </c>
      <c r="I68" s="4">
        <f>(const!$D$4*ruiseki!I67)+ruiseki!D68</f>
        <v>9.9233517797314335</v>
      </c>
      <c r="J68">
        <f t="shared" si="8"/>
        <v>0</v>
      </c>
      <c r="K68">
        <f t="shared" si="9"/>
        <v>0</v>
      </c>
      <c r="L68" t="str">
        <f t="shared" si="10"/>
        <v>なし</v>
      </c>
    </row>
    <row r="69" spans="1:12" x14ac:dyDescent="0.65">
      <c r="A69" s="2">
        <v>46204.472222222219</v>
      </c>
      <c r="B69">
        <v>670</v>
      </c>
      <c r="C69" s="4">
        <v>0</v>
      </c>
      <c r="D69" s="4">
        <f t="shared" si="7"/>
        <v>0</v>
      </c>
      <c r="E69" s="4">
        <f t="shared" si="11"/>
        <v>10</v>
      </c>
      <c r="F69" s="4">
        <f t="shared" si="5"/>
        <v>0.66666666666666663</v>
      </c>
      <c r="G69" s="4">
        <f t="shared" si="6"/>
        <v>0.55555555555555558</v>
      </c>
      <c r="H69" s="4">
        <f>(const!$C$4*ruiseki!H68)+ruiseki!D69</f>
        <v>6.5068384968742068</v>
      </c>
      <c r="I69" s="4">
        <f>(const!$D$4*ruiseki!I68)+ruiseki!D69</f>
        <v>9.9074424554681908</v>
      </c>
      <c r="J69">
        <f t="shared" si="8"/>
        <v>0</v>
      </c>
      <c r="K69">
        <f t="shared" si="9"/>
        <v>0</v>
      </c>
      <c r="L69" t="str">
        <f t="shared" si="10"/>
        <v>なし</v>
      </c>
    </row>
    <row r="70" spans="1:12" x14ac:dyDescent="0.65">
      <c r="A70" s="2">
        <v>46204.479166666664</v>
      </c>
      <c r="B70">
        <v>680</v>
      </c>
      <c r="C70" s="4">
        <v>0.5</v>
      </c>
      <c r="D70" s="4">
        <f t="shared" si="7"/>
        <v>0.5</v>
      </c>
      <c r="E70" s="4">
        <f t="shared" si="11"/>
        <v>10.5</v>
      </c>
      <c r="F70" s="4">
        <f t="shared" si="5"/>
        <v>0.58333333333333337</v>
      </c>
      <c r="G70" s="4">
        <f t="shared" si="6"/>
        <v>0.58333333333333337</v>
      </c>
      <c r="H70" s="4">
        <f>(const!$C$4*ruiseki!H69)+ruiseki!D70</f>
        <v>6.524517221193272</v>
      </c>
      <c r="I70" s="4">
        <f>(const!$D$4*ruiseki!I69)+ruiseki!D70</f>
        <v>10.391558637364977</v>
      </c>
      <c r="J70">
        <f t="shared" si="8"/>
        <v>0</v>
      </c>
      <c r="K70">
        <f t="shared" si="9"/>
        <v>0</v>
      </c>
      <c r="L70" t="str">
        <f t="shared" si="10"/>
        <v>なし</v>
      </c>
    </row>
    <row r="71" spans="1:12" x14ac:dyDescent="0.65">
      <c r="A71" s="2">
        <v>46204.486111111109</v>
      </c>
      <c r="B71">
        <v>690</v>
      </c>
      <c r="C71" s="4">
        <v>1</v>
      </c>
      <c r="D71" s="4">
        <f t="shared" si="7"/>
        <v>1</v>
      </c>
      <c r="E71" s="4">
        <f t="shared" si="11"/>
        <v>11.5</v>
      </c>
      <c r="F71" s="4">
        <f t="shared" si="5"/>
        <v>0.58333333333333337</v>
      </c>
      <c r="G71" s="4">
        <f t="shared" si="6"/>
        <v>0.63888888888888884</v>
      </c>
      <c r="H71" s="4">
        <f>(const!$C$4*ruiseki!H70)+ruiseki!D71</f>
        <v>7.040885504985793</v>
      </c>
      <c r="I71" s="4">
        <f>(const!$D$4*ruiseki!I70)+ruiseki!D71</f>
        <v>11.37489867411546</v>
      </c>
      <c r="J71">
        <f t="shared" si="8"/>
        <v>0</v>
      </c>
      <c r="K71">
        <f t="shared" si="9"/>
        <v>0</v>
      </c>
      <c r="L71" t="str">
        <f t="shared" si="10"/>
        <v>なし</v>
      </c>
    </row>
    <row r="72" spans="1:12" x14ac:dyDescent="0.65">
      <c r="A72" s="2">
        <v>46204.493055555555</v>
      </c>
      <c r="B72">
        <v>700</v>
      </c>
      <c r="C72" s="4">
        <v>0.5</v>
      </c>
      <c r="D72" s="4">
        <f t="shared" si="7"/>
        <v>0.5</v>
      </c>
      <c r="E72" s="4">
        <f t="shared" si="11"/>
        <v>12</v>
      </c>
      <c r="F72" s="4">
        <f t="shared" si="5"/>
        <v>0.5</v>
      </c>
      <c r="G72" s="4">
        <f t="shared" si="6"/>
        <v>0.66666666666666663</v>
      </c>
      <c r="H72" s="4">
        <f>(const!$C$4*ruiseki!H71)+ruiseki!D72</f>
        <v>7.0189778411764747</v>
      </c>
      <c r="I72" s="4">
        <f>(const!$D$4*ruiseki!I71)+ruiseki!D72</f>
        <v>11.856662199637386</v>
      </c>
      <c r="J72">
        <f t="shared" si="8"/>
        <v>0</v>
      </c>
      <c r="K72">
        <f t="shared" si="9"/>
        <v>0</v>
      </c>
      <c r="L72" t="str">
        <f t="shared" si="10"/>
        <v>なし</v>
      </c>
    </row>
    <row r="73" spans="1:12" x14ac:dyDescent="0.65">
      <c r="A73" s="2">
        <v>46204.5</v>
      </c>
      <c r="B73">
        <v>710</v>
      </c>
      <c r="C73" s="4">
        <v>0</v>
      </c>
      <c r="D73" s="4">
        <f t="shared" si="7"/>
        <v>0</v>
      </c>
      <c r="E73" s="4">
        <f t="shared" si="11"/>
        <v>12</v>
      </c>
      <c r="F73" s="4">
        <f t="shared" ref="F73:F136" si="12">(E73-E67)/6</f>
        <v>0.41666666666666669</v>
      </c>
      <c r="G73" s="4">
        <f t="shared" si="6"/>
        <v>0.66666666666666663</v>
      </c>
      <c r="H73" s="4">
        <f>(const!$C$4*ruiseki!H72)+ruiseki!D73</f>
        <v>6.4986940892501357</v>
      </c>
      <c r="I73" s="4">
        <f>(const!$D$4*ruiseki!I72)+ruiseki!D73</f>
        <v>11.837653351840713</v>
      </c>
      <c r="J73">
        <f t="shared" si="8"/>
        <v>0</v>
      </c>
      <c r="K73">
        <f t="shared" si="9"/>
        <v>0</v>
      </c>
      <c r="L73" t="str">
        <f t="shared" si="10"/>
        <v>なし</v>
      </c>
    </row>
    <row r="74" spans="1:12" x14ac:dyDescent="0.65">
      <c r="A74" s="2">
        <v>46204.506944444445</v>
      </c>
      <c r="B74">
        <v>720</v>
      </c>
      <c r="C74" s="4">
        <v>0.5</v>
      </c>
      <c r="D74" s="4">
        <f t="shared" si="7"/>
        <v>0.5</v>
      </c>
      <c r="E74" s="4">
        <f t="shared" si="11"/>
        <v>12.5</v>
      </c>
      <c r="F74" s="4">
        <f t="shared" si="12"/>
        <v>0.41666666666666669</v>
      </c>
      <c r="G74" s="4">
        <f t="shared" si="6"/>
        <v>0.69444444444444442</v>
      </c>
      <c r="H74" s="4">
        <f>(const!$C$4*ruiseki!H73)+ruiseki!D74</f>
        <v>6.5169765201275842</v>
      </c>
      <c r="I74" s="4">
        <f>(const!$D$4*ruiseki!I73)+ruiseki!D74</f>
        <v>12.318674979424754</v>
      </c>
      <c r="J74">
        <f t="shared" si="8"/>
        <v>0</v>
      </c>
      <c r="K74">
        <f t="shared" si="9"/>
        <v>0</v>
      </c>
      <c r="L74" t="str">
        <f t="shared" si="10"/>
        <v>なし</v>
      </c>
    </row>
    <row r="75" spans="1:12" x14ac:dyDescent="0.65">
      <c r="A75" s="2">
        <v>46204.513888888891</v>
      </c>
      <c r="B75">
        <v>730</v>
      </c>
      <c r="C75" s="4">
        <v>0.5</v>
      </c>
      <c r="D75" s="4">
        <f t="shared" si="7"/>
        <v>0.5</v>
      </c>
      <c r="E75" s="4">
        <f t="shared" si="11"/>
        <v>13</v>
      </c>
      <c r="F75" s="4">
        <f t="shared" si="12"/>
        <v>0.5</v>
      </c>
      <c r="G75" s="4">
        <f t="shared" si="6"/>
        <v>0.72222222222222221</v>
      </c>
      <c r="H75" s="4">
        <f>(const!$C$4*ruiseki!H74)+ruiseki!D75</f>
        <v>6.5339037605561545</v>
      </c>
      <c r="I75" s="4">
        <f>(const!$D$4*ruiseki!I74)+ruiseki!D75</f>
        <v>12.798925423116424</v>
      </c>
      <c r="J75">
        <f t="shared" si="8"/>
        <v>0</v>
      </c>
      <c r="K75">
        <f t="shared" si="9"/>
        <v>0</v>
      </c>
      <c r="L75" t="str">
        <f t="shared" si="10"/>
        <v>なし</v>
      </c>
    </row>
    <row r="76" spans="1:12" x14ac:dyDescent="0.65">
      <c r="A76" s="2">
        <v>46204.520833333336</v>
      </c>
      <c r="B76">
        <v>740</v>
      </c>
      <c r="C76" s="4">
        <v>1</v>
      </c>
      <c r="D76" s="4">
        <f t="shared" si="7"/>
        <v>1</v>
      </c>
      <c r="E76" s="4">
        <f t="shared" si="11"/>
        <v>14</v>
      </c>
      <c r="F76" s="4">
        <f t="shared" si="12"/>
        <v>0.58333333333333337</v>
      </c>
      <c r="G76" s="4">
        <f t="shared" si="6"/>
        <v>0.77777777777777779</v>
      </c>
      <c r="H76" s="4">
        <f>(const!$C$4*ruiseki!H75)+ruiseki!D76</f>
        <v>7.0495762644177749</v>
      </c>
      <c r="I76" s="4">
        <f>(const!$D$4*ruiseki!I75)+ruiseki!D76</f>
        <v>13.778405919293801</v>
      </c>
      <c r="J76">
        <f t="shared" si="8"/>
        <v>0</v>
      </c>
      <c r="K76">
        <f t="shared" si="9"/>
        <v>0</v>
      </c>
      <c r="L76" t="str">
        <f t="shared" si="10"/>
        <v>なし</v>
      </c>
    </row>
    <row r="77" spans="1:12" x14ac:dyDescent="0.65">
      <c r="A77" s="2">
        <v>46204.527777777781</v>
      </c>
      <c r="B77">
        <v>750</v>
      </c>
      <c r="C77" s="4">
        <v>1</v>
      </c>
      <c r="D77" s="4">
        <f t="shared" si="7"/>
        <v>1</v>
      </c>
      <c r="E77" s="4">
        <f t="shared" si="11"/>
        <v>15</v>
      </c>
      <c r="F77" s="4">
        <f t="shared" si="12"/>
        <v>0.58333333333333337</v>
      </c>
      <c r="G77" s="4">
        <f t="shared" si="6"/>
        <v>0.80555555555555558</v>
      </c>
      <c r="H77" s="4">
        <f>(const!$C$4*ruiseki!H76)+ruiseki!D77</f>
        <v>7.5270243955651193</v>
      </c>
      <c r="I77" s="4">
        <f>(const!$D$4*ruiseki!I76)+ruiseki!D77</f>
        <v>14.756316091938455</v>
      </c>
      <c r="J77">
        <f t="shared" si="8"/>
        <v>0</v>
      </c>
      <c r="K77">
        <f t="shared" si="9"/>
        <v>0</v>
      </c>
      <c r="L77" t="str">
        <f t="shared" si="10"/>
        <v>なし</v>
      </c>
    </row>
    <row r="78" spans="1:12" x14ac:dyDescent="0.65">
      <c r="A78" s="2">
        <v>46204.534722222219</v>
      </c>
      <c r="B78">
        <v>760</v>
      </c>
      <c r="C78" s="4">
        <v>2.5</v>
      </c>
      <c r="D78" s="4">
        <f t="shared" si="7"/>
        <v>2.5</v>
      </c>
      <c r="E78" s="4">
        <f t="shared" si="11"/>
        <v>17.5</v>
      </c>
      <c r="F78" s="4">
        <f t="shared" si="12"/>
        <v>0.91666666666666663</v>
      </c>
      <c r="G78" s="4">
        <f t="shared" si="6"/>
        <v>0.88888888888888884</v>
      </c>
      <c r="H78" s="4">
        <f>(const!$C$4*ruiseki!H77)+ruiseki!D78</f>
        <v>9.4690815466232721</v>
      </c>
      <c r="I78" s="4">
        <f>(const!$D$4*ruiseki!I77)+ruiseki!D78</f>
        <v>17.232658458625782</v>
      </c>
      <c r="J78">
        <f t="shared" si="8"/>
        <v>0</v>
      </c>
      <c r="K78">
        <f t="shared" si="9"/>
        <v>0</v>
      </c>
      <c r="L78" t="str">
        <f t="shared" si="10"/>
        <v>なし</v>
      </c>
    </row>
    <row r="79" spans="1:12" x14ac:dyDescent="0.65">
      <c r="A79" s="2">
        <v>46204.541666666664</v>
      </c>
      <c r="B79">
        <v>770</v>
      </c>
      <c r="C79" s="4">
        <v>4</v>
      </c>
      <c r="D79" s="4">
        <f t="shared" si="7"/>
        <v>4</v>
      </c>
      <c r="E79" s="4">
        <f t="shared" si="11"/>
        <v>21.5</v>
      </c>
      <c r="F79" s="4">
        <f t="shared" si="12"/>
        <v>1.5833333333333333</v>
      </c>
      <c r="G79" s="4">
        <f t="shared" si="6"/>
        <v>1.0555555555555556</v>
      </c>
      <c r="H79" s="4">
        <f>(const!$C$4*ruiseki!H78)+ruiseki!D79</f>
        <v>12.767183152604714</v>
      </c>
      <c r="I79" s="4">
        <f>(const!$D$4*ruiseki!I78)+ruiseki!D79</f>
        <v>21.205030701651978</v>
      </c>
      <c r="J79">
        <f t="shared" si="8"/>
        <v>0</v>
      </c>
      <c r="K79">
        <f t="shared" si="9"/>
        <v>0</v>
      </c>
      <c r="L79" t="str">
        <f t="shared" si="10"/>
        <v>なし</v>
      </c>
    </row>
    <row r="80" spans="1:12" x14ac:dyDescent="0.65">
      <c r="A80" s="2">
        <v>46204.548611111109</v>
      </c>
      <c r="B80">
        <v>780</v>
      </c>
      <c r="C80" s="4">
        <v>1.5</v>
      </c>
      <c r="D80" s="4">
        <f t="shared" si="7"/>
        <v>1.5</v>
      </c>
      <c r="E80" s="4">
        <f t="shared" si="11"/>
        <v>23</v>
      </c>
      <c r="F80" s="4">
        <f t="shared" si="12"/>
        <v>1.75</v>
      </c>
      <c r="G80" s="4">
        <f t="shared" si="6"/>
        <v>1.0555555555555556</v>
      </c>
      <c r="H80" s="4">
        <f>(const!$C$4*ruiseki!H79)+ruiseki!D80</f>
        <v>13.320812028137031</v>
      </c>
      <c r="I80" s="4">
        <f>(const!$D$4*ruiseki!I79)+ruiseki!D80</f>
        <v>22.671034354759019</v>
      </c>
      <c r="J80">
        <f t="shared" si="8"/>
        <v>0</v>
      </c>
      <c r="K80">
        <f t="shared" si="9"/>
        <v>0</v>
      </c>
      <c r="L80" t="str">
        <f t="shared" si="10"/>
        <v>なし</v>
      </c>
    </row>
    <row r="81" spans="1:12" x14ac:dyDescent="0.65">
      <c r="A81" s="2">
        <v>46204.555555555555</v>
      </c>
      <c r="B81">
        <v>790</v>
      </c>
      <c r="C81" s="4">
        <v>0.5</v>
      </c>
      <c r="D81" s="4">
        <f t="shared" si="7"/>
        <v>0.5</v>
      </c>
      <c r="E81" s="4">
        <f t="shared" si="11"/>
        <v>23.5</v>
      </c>
      <c r="F81" s="4">
        <f t="shared" si="12"/>
        <v>1.75</v>
      </c>
      <c r="G81" s="4">
        <f t="shared" si="6"/>
        <v>0.97222222222222221</v>
      </c>
      <c r="H81" s="4">
        <f>(const!$C$4*ruiseki!H80)+ruiseki!D81</f>
        <v>12.833403003984451</v>
      </c>
      <c r="I81" s="4">
        <f>(const!$D$4*ruiseki!I80)+ruiseki!D81</f>
        <v>23.134687680274528</v>
      </c>
      <c r="J81">
        <f t="shared" si="8"/>
        <v>0</v>
      </c>
      <c r="K81">
        <f t="shared" si="9"/>
        <v>0</v>
      </c>
      <c r="L81" t="str">
        <f t="shared" si="10"/>
        <v>なし</v>
      </c>
    </row>
    <row r="82" spans="1:12" x14ac:dyDescent="0.65">
      <c r="A82" s="2">
        <v>46204.5625</v>
      </c>
      <c r="B82">
        <v>800</v>
      </c>
      <c r="C82" s="4">
        <v>1</v>
      </c>
      <c r="D82" s="4">
        <f t="shared" si="7"/>
        <v>1</v>
      </c>
      <c r="E82" s="4">
        <f t="shared" si="11"/>
        <v>24.5</v>
      </c>
      <c r="F82" s="4">
        <f t="shared" si="12"/>
        <v>1.75</v>
      </c>
      <c r="G82" s="4">
        <f t="shared" si="6"/>
        <v>0.97222222222222221</v>
      </c>
      <c r="H82" s="4">
        <f>(const!$C$4*ruiseki!H81)+ruiseki!D82</f>
        <v>12.882123313980951</v>
      </c>
      <c r="I82" s="4">
        <f>(const!$D$4*ruiseki!I81)+ruiseki!D82</f>
        <v>24.097597667121299</v>
      </c>
      <c r="J82">
        <f t="shared" si="8"/>
        <v>0</v>
      </c>
      <c r="K82">
        <f t="shared" si="9"/>
        <v>0</v>
      </c>
      <c r="L82" t="str">
        <f t="shared" si="10"/>
        <v>なし</v>
      </c>
    </row>
    <row r="83" spans="1:12" x14ac:dyDescent="0.65">
      <c r="A83" s="2">
        <v>46204.569444444445</v>
      </c>
      <c r="B83">
        <v>810</v>
      </c>
      <c r="C83" s="4">
        <v>0.5</v>
      </c>
      <c r="D83" s="4">
        <f t="shared" si="7"/>
        <v>0.5</v>
      </c>
      <c r="E83" s="4">
        <f t="shared" si="11"/>
        <v>25</v>
      </c>
      <c r="F83" s="4">
        <f t="shared" si="12"/>
        <v>1.6666666666666667</v>
      </c>
      <c r="G83" s="4">
        <f t="shared" si="6"/>
        <v>0.94444444444444442</v>
      </c>
      <c r="H83" s="4">
        <f>(const!$C$4*ruiseki!H82)+ruiseki!D83</f>
        <v>12.42723221698151</v>
      </c>
      <c r="I83" s="4">
        <f>(const!$D$4*ruiseki!I82)+ruiseki!D83</f>
        <v>24.558963896621048</v>
      </c>
      <c r="J83">
        <f t="shared" si="8"/>
        <v>0</v>
      </c>
      <c r="K83">
        <f t="shared" si="9"/>
        <v>0</v>
      </c>
      <c r="L83" t="str">
        <f t="shared" si="10"/>
        <v>なし</v>
      </c>
    </row>
    <row r="84" spans="1:12" x14ac:dyDescent="0.65">
      <c r="A84" s="2">
        <v>46204.576388888891</v>
      </c>
      <c r="B84">
        <v>820</v>
      </c>
      <c r="C84" s="4">
        <v>1.5</v>
      </c>
      <c r="D84" s="4">
        <f t="shared" si="7"/>
        <v>1.5</v>
      </c>
      <c r="E84" s="4">
        <f t="shared" si="11"/>
        <v>26.5</v>
      </c>
      <c r="F84" s="4">
        <f t="shared" si="12"/>
        <v>1.5</v>
      </c>
      <c r="G84" s="4">
        <f t="shared" si="6"/>
        <v>0.97222222222222221</v>
      </c>
      <c r="H84" s="4">
        <f>(const!$C$4*ruiseki!H83)+ruiseki!D84</f>
        <v>13.006060053425102</v>
      </c>
      <c r="I84" s="4">
        <f>(const!$D$4*ruiseki!I83)+ruiseki!D84</f>
        <v>26.019590454172029</v>
      </c>
      <c r="J84">
        <f t="shared" si="8"/>
        <v>0</v>
      </c>
      <c r="K84">
        <f t="shared" si="9"/>
        <v>0</v>
      </c>
      <c r="L84" t="str">
        <f t="shared" si="10"/>
        <v>なし</v>
      </c>
    </row>
    <row r="85" spans="1:12" x14ac:dyDescent="0.65">
      <c r="A85" s="2">
        <v>46204.583333333336</v>
      </c>
      <c r="B85">
        <v>830</v>
      </c>
      <c r="C85" s="4">
        <v>1</v>
      </c>
      <c r="D85" s="4">
        <f t="shared" si="7"/>
        <v>1</v>
      </c>
      <c r="E85" s="4">
        <f t="shared" si="11"/>
        <v>27.5</v>
      </c>
      <c r="F85" s="4">
        <f t="shared" si="12"/>
        <v>1</v>
      </c>
      <c r="G85" s="4">
        <f t="shared" ref="G85:G145" si="13">(E85-E67)/18</f>
        <v>1</v>
      </c>
      <c r="H85" s="4">
        <f>(const!$C$4*ruiseki!H84)+ruiseki!D85</f>
        <v>13.041982109956189</v>
      </c>
      <c r="I85" s="4">
        <f>(const!$D$4*ruiseki!I84)+ruiseki!D85</f>
        <v>26.977875304803071</v>
      </c>
      <c r="J85">
        <f t="shared" si="8"/>
        <v>0</v>
      </c>
      <c r="K85">
        <f t="shared" si="9"/>
        <v>0</v>
      </c>
      <c r="L85" t="str">
        <f t="shared" si="10"/>
        <v>なし</v>
      </c>
    </row>
    <row r="86" spans="1:12" x14ac:dyDescent="0.65">
      <c r="A86" s="2">
        <v>46204.590277777781</v>
      </c>
      <c r="B86">
        <v>840</v>
      </c>
      <c r="C86" s="4">
        <v>2</v>
      </c>
      <c r="D86" s="4">
        <f t="shared" si="7"/>
        <v>2</v>
      </c>
      <c r="E86" s="4">
        <f t="shared" si="11"/>
        <v>29.5</v>
      </c>
      <c r="F86" s="4">
        <f t="shared" si="12"/>
        <v>1.0833333333333333</v>
      </c>
      <c r="G86" s="4">
        <f t="shared" si="13"/>
        <v>1.0833333333333333</v>
      </c>
      <c r="H86" s="4">
        <f>(const!$C$4*ruiseki!H85)+ruiseki!D86</f>
        <v>14.075241433711676</v>
      </c>
      <c r="I86" s="4">
        <f>(const!$D$4*ruiseki!I85)+ruiseki!D86</f>
        <v>28.934623813201807</v>
      </c>
      <c r="J86">
        <f t="shared" si="8"/>
        <v>0</v>
      </c>
      <c r="K86">
        <f t="shared" si="9"/>
        <v>0</v>
      </c>
      <c r="L86" t="str">
        <f t="shared" si="10"/>
        <v>なし</v>
      </c>
    </row>
    <row r="87" spans="1:12" x14ac:dyDescent="0.65">
      <c r="A87" s="2">
        <v>46204.597222222219</v>
      </c>
      <c r="B87">
        <v>850</v>
      </c>
      <c r="C87" s="4">
        <v>1</v>
      </c>
      <c r="D87" s="4">
        <f t="shared" si="7"/>
        <v>1</v>
      </c>
      <c r="E87" s="4">
        <f t="shared" si="11"/>
        <v>30.5</v>
      </c>
      <c r="F87" s="4">
        <f t="shared" si="12"/>
        <v>1.1666666666666667</v>
      </c>
      <c r="G87" s="4">
        <f t="shared" si="13"/>
        <v>1.1388888888888888</v>
      </c>
      <c r="H87" s="4">
        <f>(const!$C$4*ruiseki!H86)+ruiseki!D87</f>
        <v>14.031910112811948</v>
      </c>
      <c r="I87" s="4">
        <f>(const!$D$4*ruiseki!I86)+ruiseki!D87</f>
        <v>29.888235221635455</v>
      </c>
      <c r="J87">
        <f t="shared" si="8"/>
        <v>0</v>
      </c>
      <c r="K87">
        <f t="shared" si="9"/>
        <v>0</v>
      </c>
      <c r="L87" t="str">
        <f t="shared" si="10"/>
        <v>なし</v>
      </c>
    </row>
    <row r="88" spans="1:12" x14ac:dyDescent="0.65">
      <c r="A88" s="2">
        <v>46204.604166666664</v>
      </c>
      <c r="B88">
        <v>860</v>
      </c>
      <c r="C88" s="4">
        <v>1</v>
      </c>
      <c r="D88" s="4">
        <f t="shared" si="7"/>
        <v>1</v>
      </c>
      <c r="E88" s="4">
        <f t="shared" si="11"/>
        <v>31.5</v>
      </c>
      <c r="F88" s="4">
        <f t="shared" si="12"/>
        <v>1.1666666666666667</v>
      </c>
      <c r="G88" s="4">
        <f t="shared" si="13"/>
        <v>1.1666666666666667</v>
      </c>
      <c r="H88" s="4">
        <f>(const!$C$4*ruiseki!H87)+ruiseki!D88</f>
        <v>13.991790738540884</v>
      </c>
      <c r="I88" s="4">
        <f>(const!$D$4*ruiseki!I87)+ruiseki!D88</f>
        <v>30.840317780396671</v>
      </c>
      <c r="J88">
        <f t="shared" si="8"/>
        <v>0</v>
      </c>
      <c r="K88">
        <f t="shared" si="9"/>
        <v>1</v>
      </c>
      <c r="L88" t="str">
        <f t="shared" si="10"/>
        <v>長期注意</v>
      </c>
    </row>
    <row r="89" spans="1:12" x14ac:dyDescent="0.65">
      <c r="A89" s="2">
        <v>46204.611111111109</v>
      </c>
      <c r="B89">
        <v>870</v>
      </c>
      <c r="C89" s="4">
        <v>1</v>
      </c>
      <c r="D89" s="4">
        <f t="shared" si="7"/>
        <v>1</v>
      </c>
      <c r="E89" s="4">
        <f t="shared" si="11"/>
        <v>32.5</v>
      </c>
      <c r="F89" s="4">
        <f t="shared" si="12"/>
        <v>1.25</v>
      </c>
      <c r="G89" s="4">
        <f t="shared" si="13"/>
        <v>1.1666666666666667</v>
      </c>
      <c r="H89" s="4">
        <f>(const!$C$4*ruiseki!H88)+ruiseki!D89</f>
        <v>13.954645224430516</v>
      </c>
      <c r="I89" s="4">
        <f>(const!$D$4*ruiseki!I88)+ruiseki!D89</f>
        <v>31.790873940569089</v>
      </c>
      <c r="J89">
        <f t="shared" si="8"/>
        <v>0</v>
      </c>
      <c r="K89">
        <f t="shared" si="9"/>
        <v>1</v>
      </c>
      <c r="L89" t="str">
        <f t="shared" si="10"/>
        <v>長期注意</v>
      </c>
    </row>
    <row r="90" spans="1:12" x14ac:dyDescent="0.65">
      <c r="A90" s="2">
        <v>46204.618055555555</v>
      </c>
      <c r="B90">
        <v>880</v>
      </c>
      <c r="C90" s="4">
        <v>0.5</v>
      </c>
      <c r="D90" s="4">
        <f t="shared" si="7"/>
        <v>0.5</v>
      </c>
      <c r="E90" s="4">
        <f t="shared" si="11"/>
        <v>33</v>
      </c>
      <c r="F90" s="4">
        <f t="shared" si="12"/>
        <v>1.0833333333333333</v>
      </c>
      <c r="G90" s="4">
        <f t="shared" si="13"/>
        <v>1.1666666666666667</v>
      </c>
      <c r="H90" s="4">
        <f>(const!$C$4*ruiseki!H89)+ruiseki!D90</f>
        <v>13.420253132240816</v>
      </c>
      <c r="I90" s="4">
        <f>(const!$D$4*ruiseki!I89)+ruiseki!D90</f>
        <v>32.239906149306719</v>
      </c>
      <c r="J90">
        <f t="shared" si="8"/>
        <v>0</v>
      </c>
      <c r="K90">
        <f t="shared" si="9"/>
        <v>1</v>
      </c>
      <c r="L90" t="str">
        <f t="shared" si="10"/>
        <v>長期注意</v>
      </c>
    </row>
    <row r="91" spans="1:12" x14ac:dyDescent="0.65">
      <c r="A91" s="2">
        <v>46204.625</v>
      </c>
      <c r="B91">
        <v>890</v>
      </c>
      <c r="C91" s="4">
        <v>0.5</v>
      </c>
      <c r="D91" s="4">
        <f t="shared" si="7"/>
        <v>0.5</v>
      </c>
      <c r="E91" s="4">
        <f t="shared" si="11"/>
        <v>33.5</v>
      </c>
      <c r="F91" s="4">
        <f t="shared" si="12"/>
        <v>1</v>
      </c>
      <c r="G91" s="4">
        <f t="shared" si="13"/>
        <v>1.1944444444444444</v>
      </c>
      <c r="H91" s="4">
        <f>(const!$C$4*ruiseki!H90)+ruiseki!D91</f>
        <v>12.925473007636075</v>
      </c>
      <c r="I91" s="4">
        <f>(const!$D$4*ruiseki!I90)+ruiseki!D91</f>
        <v>32.688218460254568</v>
      </c>
      <c r="J91">
        <f t="shared" si="8"/>
        <v>0</v>
      </c>
      <c r="K91">
        <f t="shared" si="9"/>
        <v>1</v>
      </c>
      <c r="L91" t="str">
        <f t="shared" si="10"/>
        <v>長期注意</v>
      </c>
    </row>
    <row r="92" spans="1:12" x14ac:dyDescent="0.65">
      <c r="A92" s="2">
        <v>46204.631944444445</v>
      </c>
      <c r="B92">
        <v>900</v>
      </c>
      <c r="C92" s="4">
        <v>0.5</v>
      </c>
      <c r="D92" s="4">
        <f t="shared" si="7"/>
        <v>0.5</v>
      </c>
      <c r="E92" s="4">
        <f t="shared" si="11"/>
        <v>34</v>
      </c>
      <c r="F92" s="4">
        <f t="shared" si="12"/>
        <v>0.75</v>
      </c>
      <c r="G92" s="4">
        <f t="shared" si="13"/>
        <v>1.1944444444444444</v>
      </c>
      <c r="H92" s="4">
        <f>(const!$C$4*ruiseki!H91)+ruiseki!D92</f>
        <v>12.467368602122189</v>
      </c>
      <c r="I92" s="4">
        <f>(const!$D$4*ruiseki!I91)+ruiseki!D92</f>
        <v>33.135812027567766</v>
      </c>
      <c r="J92">
        <f t="shared" si="8"/>
        <v>0</v>
      </c>
      <c r="K92">
        <f t="shared" si="9"/>
        <v>1</v>
      </c>
      <c r="L92" t="str">
        <f t="shared" si="10"/>
        <v>長期注意</v>
      </c>
    </row>
    <row r="93" spans="1:12" x14ac:dyDescent="0.65">
      <c r="A93" s="2">
        <v>46204.638888888891</v>
      </c>
      <c r="B93">
        <v>910</v>
      </c>
      <c r="C93" s="4">
        <v>1</v>
      </c>
      <c r="D93" s="4">
        <f t="shared" si="7"/>
        <v>1</v>
      </c>
      <c r="E93" s="4">
        <f t="shared" si="11"/>
        <v>35</v>
      </c>
      <c r="F93" s="4">
        <f t="shared" si="12"/>
        <v>0.75</v>
      </c>
      <c r="G93" s="4">
        <f t="shared" si="13"/>
        <v>1.2222222222222223</v>
      </c>
      <c r="H93" s="4">
        <f>(const!$C$4*ruiseki!H92)+ruiseki!D93</f>
        <v>12.543221317469481</v>
      </c>
      <c r="I93" s="4">
        <f>(const!$D$4*ruiseki!I92)+ruiseki!D93</f>
        <v>34.082688003551084</v>
      </c>
      <c r="J93">
        <f t="shared" si="8"/>
        <v>0</v>
      </c>
      <c r="K93">
        <f t="shared" si="9"/>
        <v>1</v>
      </c>
      <c r="L93" t="str">
        <f t="shared" si="10"/>
        <v>長期注意</v>
      </c>
    </row>
    <row r="94" spans="1:12" x14ac:dyDescent="0.65">
      <c r="A94" s="2">
        <v>46204.645833333336</v>
      </c>
      <c r="B94">
        <v>920</v>
      </c>
      <c r="C94" s="4">
        <v>0.5</v>
      </c>
      <c r="D94" s="4">
        <f t="shared" si="7"/>
        <v>0.5</v>
      </c>
      <c r="E94" s="4">
        <f t="shared" si="11"/>
        <v>35.5</v>
      </c>
      <c r="F94" s="4">
        <f t="shared" si="12"/>
        <v>0.66666666666666663</v>
      </c>
      <c r="G94" s="4">
        <f t="shared" si="13"/>
        <v>1.1944444444444444</v>
      </c>
      <c r="H94" s="4">
        <f>(const!$C$4*ruiseki!H93)+ruiseki!D94</f>
        <v>12.113451428467863</v>
      </c>
      <c r="I94" s="4">
        <f>(const!$D$4*ruiseki!I93)+ruiseki!D94</f>
        <v>34.528045928247558</v>
      </c>
      <c r="J94">
        <f t="shared" si="8"/>
        <v>0</v>
      </c>
      <c r="K94">
        <f t="shared" si="9"/>
        <v>1</v>
      </c>
      <c r="L94" t="str">
        <f t="shared" si="10"/>
        <v>長期注意</v>
      </c>
    </row>
    <row r="95" spans="1:12" x14ac:dyDescent="0.65">
      <c r="A95" s="2">
        <v>46204.652777777781</v>
      </c>
      <c r="B95">
        <v>930</v>
      </c>
      <c r="C95" s="4">
        <v>0</v>
      </c>
      <c r="D95" s="4">
        <f t="shared" si="7"/>
        <v>0</v>
      </c>
      <c r="E95" s="4">
        <f t="shared" si="11"/>
        <v>35.5</v>
      </c>
      <c r="F95" s="4">
        <f t="shared" si="12"/>
        <v>0.5</v>
      </c>
      <c r="G95" s="4">
        <f t="shared" si="13"/>
        <v>1.1388888888888888</v>
      </c>
      <c r="H95" s="4">
        <f>(const!$C$4*ruiseki!H94)+ruiseki!D95</f>
        <v>11.215538356138751</v>
      </c>
      <c r="I95" s="4">
        <f>(const!$D$4*ruiseki!I94)+ruiseki!D95</f>
        <v>34.472689845842957</v>
      </c>
      <c r="J95">
        <f t="shared" si="8"/>
        <v>0</v>
      </c>
      <c r="K95">
        <f t="shared" si="9"/>
        <v>1</v>
      </c>
      <c r="L95" t="str">
        <f t="shared" si="10"/>
        <v>長期注意</v>
      </c>
    </row>
    <row r="96" spans="1:12" x14ac:dyDescent="0.65">
      <c r="A96" s="2">
        <v>46204.659722222219</v>
      </c>
      <c r="B96">
        <v>940</v>
      </c>
      <c r="C96" s="4">
        <v>0.5</v>
      </c>
      <c r="D96" s="4">
        <f t="shared" si="7"/>
        <v>0.5</v>
      </c>
      <c r="E96" s="4">
        <f t="shared" si="11"/>
        <v>36</v>
      </c>
      <c r="F96" s="4">
        <f t="shared" si="12"/>
        <v>0.5</v>
      </c>
      <c r="G96" s="4">
        <f t="shared" si="13"/>
        <v>1.0277777777777777</v>
      </c>
      <c r="H96" s="4">
        <f>(const!$C$4*ruiseki!H95)+ruiseki!D96</f>
        <v>10.884183348637036</v>
      </c>
      <c r="I96" s="4">
        <f>(const!$D$4*ruiseki!I95)+ruiseki!D96</f>
        <v>34.917422511462661</v>
      </c>
      <c r="J96">
        <f t="shared" si="8"/>
        <v>0</v>
      </c>
      <c r="K96">
        <f t="shared" si="9"/>
        <v>1</v>
      </c>
      <c r="L96" t="str">
        <f t="shared" si="10"/>
        <v>長期注意</v>
      </c>
    </row>
    <row r="97" spans="1:12" x14ac:dyDescent="0.65">
      <c r="A97" s="2">
        <v>46204.666666666664</v>
      </c>
      <c r="B97">
        <v>950</v>
      </c>
      <c r="C97" s="4">
        <v>0.5</v>
      </c>
      <c r="D97" s="4">
        <f t="shared" si="7"/>
        <v>0.5</v>
      </c>
      <c r="E97" s="4">
        <f t="shared" si="11"/>
        <v>36.5</v>
      </c>
      <c r="F97" s="4">
        <f t="shared" si="12"/>
        <v>0.5</v>
      </c>
      <c r="G97" s="4">
        <f t="shared" si="13"/>
        <v>0.83333333333333337</v>
      </c>
      <c r="H97" s="4">
        <f>(const!$C$4*ruiseki!H96)+ruiseki!D97</f>
        <v>10.577390126401433</v>
      </c>
      <c r="I97" s="4">
        <f>(const!$D$4*ruiseki!I96)+ruiseki!D97</f>
        <v>35.361442172409667</v>
      </c>
      <c r="J97">
        <f t="shared" si="8"/>
        <v>0</v>
      </c>
      <c r="K97">
        <f t="shared" si="9"/>
        <v>1</v>
      </c>
      <c r="L97" t="str">
        <f t="shared" si="10"/>
        <v>長期注意</v>
      </c>
    </row>
    <row r="98" spans="1:12" x14ac:dyDescent="0.65">
      <c r="A98" s="2">
        <v>46204.673611111109</v>
      </c>
      <c r="B98">
        <v>960</v>
      </c>
      <c r="C98" s="4">
        <v>0.5</v>
      </c>
      <c r="D98" s="4">
        <f t="shared" si="7"/>
        <v>0.5</v>
      </c>
      <c r="E98" s="4">
        <f t="shared" si="11"/>
        <v>37</v>
      </c>
      <c r="F98" s="4">
        <f t="shared" si="12"/>
        <v>0.5</v>
      </c>
      <c r="G98" s="4">
        <f t="shared" si="13"/>
        <v>0.77777777777777779</v>
      </c>
      <c r="H98" s="4">
        <f>(const!$C$4*ruiseki!H97)+ruiseki!D98</f>
        <v>10.293338040032353</v>
      </c>
      <c r="I98" s="4">
        <f>(const!$D$4*ruiseki!I97)+ruiseki!D98</f>
        <v>35.804749971787913</v>
      </c>
      <c r="J98">
        <f t="shared" si="8"/>
        <v>0</v>
      </c>
      <c r="K98">
        <f t="shared" si="9"/>
        <v>1</v>
      </c>
      <c r="L98" t="str">
        <f t="shared" si="10"/>
        <v>長期注意</v>
      </c>
    </row>
    <row r="99" spans="1:12" x14ac:dyDescent="0.65">
      <c r="A99" s="2">
        <v>46204.680555555555</v>
      </c>
      <c r="B99">
        <v>970</v>
      </c>
      <c r="C99" s="4">
        <v>0.5</v>
      </c>
      <c r="D99" s="4">
        <f t="shared" si="7"/>
        <v>0.5</v>
      </c>
      <c r="E99" s="4">
        <f t="shared" si="11"/>
        <v>37.5</v>
      </c>
      <c r="F99" s="4">
        <f t="shared" si="12"/>
        <v>0.41666666666666669</v>
      </c>
      <c r="G99" s="4">
        <f t="shared" si="13"/>
        <v>0.77777777777777779</v>
      </c>
      <c r="H99" s="4">
        <f>(const!$C$4*ruiseki!H98)+ruiseki!D99</f>
        <v>10.030341396290776</v>
      </c>
      <c r="I99" s="4">
        <f>(const!$D$4*ruiseki!I98)+ruiseki!D99</f>
        <v>36.247347050868697</v>
      </c>
      <c r="J99">
        <f t="shared" si="8"/>
        <v>0</v>
      </c>
      <c r="K99">
        <f t="shared" si="9"/>
        <v>1</v>
      </c>
      <c r="L99" t="str">
        <f t="shared" si="10"/>
        <v>長期注意</v>
      </c>
    </row>
    <row r="100" spans="1:12" x14ac:dyDescent="0.65">
      <c r="A100" s="2">
        <v>46204.6875</v>
      </c>
      <c r="B100">
        <v>980</v>
      </c>
      <c r="C100" s="4">
        <v>0.5</v>
      </c>
      <c r="D100" s="4">
        <f t="shared" si="7"/>
        <v>0.5</v>
      </c>
      <c r="E100" s="4">
        <f t="shared" si="11"/>
        <v>38</v>
      </c>
      <c r="F100" s="4">
        <f t="shared" si="12"/>
        <v>0.41666666666666669</v>
      </c>
      <c r="G100" s="4">
        <f t="shared" si="13"/>
        <v>0.75</v>
      </c>
      <c r="H100" s="4">
        <f>(const!$C$4*ruiseki!H99)+ruiseki!D100</f>
        <v>9.7868394544340216</v>
      </c>
      <c r="I100" s="4">
        <f>(const!$D$4*ruiseki!I99)+ruiseki!D100</f>
        <v>36.689234549093598</v>
      </c>
      <c r="J100">
        <f t="shared" si="8"/>
        <v>0</v>
      </c>
      <c r="K100">
        <f t="shared" si="9"/>
        <v>1</v>
      </c>
      <c r="L100" t="str">
        <f t="shared" si="10"/>
        <v>長期注意</v>
      </c>
    </row>
    <row r="101" spans="1:12" x14ac:dyDescent="0.65">
      <c r="A101" s="2">
        <v>46204.694444444445</v>
      </c>
      <c r="B101">
        <v>990</v>
      </c>
      <c r="C101" s="4">
        <v>0</v>
      </c>
      <c r="D101" s="4">
        <f t="shared" si="7"/>
        <v>0</v>
      </c>
      <c r="E101" s="4">
        <f t="shared" si="11"/>
        <v>38</v>
      </c>
      <c r="F101" s="4">
        <f t="shared" si="12"/>
        <v>0.41666666666666669</v>
      </c>
      <c r="G101" s="4">
        <f t="shared" si="13"/>
        <v>0.72222222222222221</v>
      </c>
      <c r="H101" s="4">
        <f>(const!$C$4*ruiseki!H100)+ruiseki!D101</f>
        <v>9.0613871640760024</v>
      </c>
      <c r="I101" s="4">
        <f>(const!$D$4*ruiseki!I100)+ruiseki!D101</f>
        <v>36.630413604077425</v>
      </c>
      <c r="J101">
        <f t="shared" si="8"/>
        <v>0</v>
      </c>
      <c r="K101">
        <f t="shared" si="9"/>
        <v>1</v>
      </c>
      <c r="L101" t="str">
        <f t="shared" si="10"/>
        <v>長期注意</v>
      </c>
    </row>
    <row r="102" spans="1:12" x14ac:dyDescent="0.65">
      <c r="A102" s="2">
        <v>46204.701388888891</v>
      </c>
      <c r="B102">
        <v>1000</v>
      </c>
      <c r="C102" s="4">
        <v>0</v>
      </c>
      <c r="D102" s="4">
        <f t="shared" si="7"/>
        <v>0</v>
      </c>
      <c r="E102" s="4">
        <f t="shared" si="11"/>
        <v>38</v>
      </c>
      <c r="F102" s="4">
        <f t="shared" si="12"/>
        <v>0.33333333333333331</v>
      </c>
      <c r="G102" s="4">
        <f t="shared" si="13"/>
        <v>0.63888888888888884</v>
      </c>
      <c r="H102" s="4">
        <f>(const!$C$4*ruiseki!H101)+ruiseki!D102</f>
        <v>8.3897092334626162</v>
      </c>
      <c r="I102" s="4">
        <f>(const!$D$4*ruiseki!I101)+ruiseki!D102</f>
        <v>36.571686962025467</v>
      </c>
      <c r="J102">
        <f t="shared" si="8"/>
        <v>0</v>
      </c>
      <c r="K102">
        <f t="shared" si="9"/>
        <v>1</v>
      </c>
      <c r="L102" t="str">
        <f t="shared" si="10"/>
        <v>長期注意</v>
      </c>
    </row>
    <row r="103" spans="1:12" x14ac:dyDescent="0.65">
      <c r="A103" s="2">
        <v>46204.708333333336</v>
      </c>
      <c r="B103">
        <v>1010</v>
      </c>
      <c r="C103" s="4">
        <v>0.5</v>
      </c>
      <c r="D103" s="4">
        <f t="shared" si="7"/>
        <v>0.5</v>
      </c>
      <c r="E103" s="4">
        <f t="shared" si="11"/>
        <v>38.5</v>
      </c>
      <c r="F103" s="4">
        <f t="shared" si="12"/>
        <v>0.33333333333333331</v>
      </c>
      <c r="G103" s="4">
        <f t="shared" si="13"/>
        <v>0.61111111111111116</v>
      </c>
      <c r="H103" s="4">
        <f>(const!$C$4*ruiseki!H102)+ruiseki!D103</f>
        <v>8.2678196227062237</v>
      </c>
      <c r="I103" s="4">
        <f>(const!$D$4*ruiseki!I102)+ruiseki!D103</f>
        <v>37.013054471749243</v>
      </c>
      <c r="J103">
        <f t="shared" si="8"/>
        <v>0</v>
      </c>
      <c r="K103">
        <f t="shared" si="9"/>
        <v>1</v>
      </c>
      <c r="L103" t="str">
        <f t="shared" si="10"/>
        <v>長期注意</v>
      </c>
    </row>
    <row r="104" spans="1:12" x14ac:dyDescent="0.65">
      <c r="A104" s="2">
        <v>46204.715277777781</v>
      </c>
      <c r="B104">
        <v>1020</v>
      </c>
      <c r="C104" s="4">
        <v>0</v>
      </c>
      <c r="D104" s="4">
        <f t="shared" si="7"/>
        <v>0</v>
      </c>
      <c r="E104" s="4">
        <f t="shared" si="11"/>
        <v>38.5</v>
      </c>
      <c r="F104" s="4">
        <f t="shared" si="12"/>
        <v>0.25</v>
      </c>
      <c r="G104" s="4">
        <f t="shared" si="13"/>
        <v>0.5</v>
      </c>
      <c r="H104" s="4">
        <f>(const!$C$4*ruiseki!H103)+ruiseki!D104</f>
        <v>7.6549651144163393</v>
      </c>
      <c r="I104" s="4">
        <f>(const!$D$4*ruiseki!I103)+ruiseki!D104</f>
        <v>36.953714371888339</v>
      </c>
      <c r="J104">
        <f t="shared" si="8"/>
        <v>0</v>
      </c>
      <c r="K104">
        <f t="shared" si="9"/>
        <v>1</v>
      </c>
      <c r="L104" t="str">
        <f t="shared" si="10"/>
        <v>長期注意</v>
      </c>
    </row>
    <row r="105" spans="1:12" x14ac:dyDescent="0.65">
      <c r="A105" s="2">
        <v>46204.722222222219</v>
      </c>
      <c r="B105">
        <v>1030</v>
      </c>
      <c r="C105" s="4">
        <v>0.5</v>
      </c>
      <c r="D105" s="4">
        <f t="shared" si="7"/>
        <v>0.5</v>
      </c>
      <c r="E105" s="4">
        <f t="shared" si="11"/>
        <v>39</v>
      </c>
      <c r="F105" s="4">
        <f t="shared" si="12"/>
        <v>0.25</v>
      </c>
      <c r="G105" s="4">
        <f t="shared" si="13"/>
        <v>0.47222222222222221</v>
      </c>
      <c r="H105" s="4">
        <f>(const!$C$4*ruiseki!H104)+ruiseki!D105</f>
        <v>7.5875386228794737</v>
      </c>
      <c r="I105" s="4">
        <f>(const!$D$4*ruiseki!I104)+ruiseki!D105</f>
        <v>37.394469407311504</v>
      </c>
      <c r="J105">
        <f t="shared" si="8"/>
        <v>0</v>
      </c>
      <c r="K105">
        <f t="shared" si="9"/>
        <v>1</v>
      </c>
      <c r="L105" t="str">
        <f t="shared" si="10"/>
        <v>長期注意</v>
      </c>
    </row>
    <row r="106" spans="1:12" x14ac:dyDescent="0.65">
      <c r="A106" s="2">
        <v>46204.729166666664</v>
      </c>
      <c r="B106">
        <v>1040</v>
      </c>
      <c r="C106" s="4">
        <v>0.5</v>
      </c>
      <c r="D106" s="4">
        <f t="shared" si="7"/>
        <v>0.5</v>
      </c>
      <c r="E106" s="4">
        <f t="shared" si="11"/>
        <v>39.5</v>
      </c>
      <c r="F106" s="4">
        <f t="shared" si="12"/>
        <v>0.25</v>
      </c>
      <c r="G106" s="4">
        <f t="shared" si="13"/>
        <v>0.44444444444444442</v>
      </c>
      <c r="H106" s="4">
        <f>(const!$C$4*ruiseki!H105)+ruiseki!D106</f>
        <v>7.5251101394272366</v>
      </c>
      <c r="I106" s="4">
        <f>(const!$D$4*ruiseki!I105)+ruiseki!D106</f>
        <v>37.834517815081554</v>
      </c>
      <c r="J106">
        <f t="shared" si="8"/>
        <v>0</v>
      </c>
      <c r="K106">
        <f t="shared" si="9"/>
        <v>1</v>
      </c>
      <c r="L106" t="str">
        <f t="shared" si="10"/>
        <v>長期注意</v>
      </c>
    </row>
    <row r="107" spans="1:12" x14ac:dyDescent="0.65">
      <c r="A107" s="2">
        <v>46204.736111111109</v>
      </c>
      <c r="B107">
        <v>1050</v>
      </c>
      <c r="C107" s="4">
        <v>0.5</v>
      </c>
      <c r="D107" s="4">
        <f t="shared" si="7"/>
        <v>0.5</v>
      </c>
      <c r="E107" s="4">
        <f t="shared" si="11"/>
        <v>40</v>
      </c>
      <c r="F107" s="4">
        <f t="shared" si="12"/>
        <v>0.33333333333333331</v>
      </c>
      <c r="G107" s="4">
        <f t="shared" si="13"/>
        <v>0.41666666666666669</v>
      </c>
      <c r="H107" s="4">
        <f>(const!$C$4*ruiseki!H106)+ruiseki!D107</f>
        <v>7.4673091852723648</v>
      </c>
      <c r="I107" s="4">
        <f>(const!$D$4*ruiseki!I106)+ruiseki!D107</f>
        <v>38.273860728078652</v>
      </c>
      <c r="J107">
        <f t="shared" si="8"/>
        <v>0</v>
      </c>
      <c r="K107">
        <f t="shared" si="9"/>
        <v>1</v>
      </c>
      <c r="L107" t="str">
        <f t="shared" si="10"/>
        <v>長期注意</v>
      </c>
    </row>
    <row r="108" spans="1:12" x14ac:dyDescent="0.65">
      <c r="A108" s="2">
        <v>46204.743055555555</v>
      </c>
      <c r="B108">
        <v>1060</v>
      </c>
      <c r="C108" s="4">
        <v>1</v>
      </c>
      <c r="D108" s="4">
        <f t="shared" si="7"/>
        <v>1</v>
      </c>
      <c r="E108" s="4">
        <f t="shared" si="11"/>
        <v>41</v>
      </c>
      <c r="F108" s="4">
        <f t="shared" si="12"/>
        <v>0.5</v>
      </c>
      <c r="G108" s="4">
        <f t="shared" si="13"/>
        <v>0.44444444444444442</v>
      </c>
      <c r="H108" s="4">
        <f>(const!$C$4*ruiseki!H107)+ruiseki!D108</f>
        <v>7.9137927434742918</v>
      </c>
      <c r="I108" s="4">
        <f>(const!$D$4*ruiseki!I107)+ruiseki!D108</f>
        <v>39.212499277366717</v>
      </c>
      <c r="J108">
        <f t="shared" si="8"/>
        <v>0</v>
      </c>
      <c r="K108">
        <f t="shared" si="9"/>
        <v>1</v>
      </c>
      <c r="L108" t="str">
        <f t="shared" si="10"/>
        <v>長期注意</v>
      </c>
    </row>
    <row r="109" spans="1:12" x14ac:dyDescent="0.65">
      <c r="A109" s="2">
        <v>46204.75</v>
      </c>
      <c r="B109">
        <v>1070</v>
      </c>
      <c r="C109" s="4">
        <v>0</v>
      </c>
      <c r="D109" s="4">
        <f t="shared" si="7"/>
        <v>0</v>
      </c>
      <c r="E109" s="4">
        <f t="shared" si="11"/>
        <v>41</v>
      </c>
      <c r="F109" s="4">
        <f t="shared" si="12"/>
        <v>0.41666666666666669</v>
      </c>
      <c r="G109" s="4">
        <f t="shared" si="13"/>
        <v>0.41666666666666669</v>
      </c>
      <c r="H109" s="4">
        <f>(const!$C$4*ruiseki!H108)+ruiseki!D109</f>
        <v>7.3271805794655069</v>
      </c>
      <c r="I109" s="4">
        <f>(const!$D$4*ruiseki!I108)+ruiseki!D109</f>
        <v>39.149632981781991</v>
      </c>
      <c r="J109">
        <f t="shared" si="8"/>
        <v>0</v>
      </c>
      <c r="K109">
        <f t="shared" si="9"/>
        <v>1</v>
      </c>
      <c r="L109" t="str">
        <f t="shared" si="10"/>
        <v>長期注意</v>
      </c>
    </row>
    <row r="110" spans="1:12" x14ac:dyDescent="0.65">
      <c r="A110" s="2">
        <v>46204.756944444445</v>
      </c>
      <c r="B110">
        <v>1080</v>
      </c>
      <c r="C110" s="4">
        <v>0</v>
      </c>
      <c r="D110" s="4">
        <f t="shared" si="7"/>
        <v>0</v>
      </c>
      <c r="E110" s="4">
        <f t="shared" si="11"/>
        <v>41</v>
      </c>
      <c r="F110" s="4">
        <f t="shared" si="12"/>
        <v>0.41666666666666669</v>
      </c>
      <c r="G110" s="4">
        <f t="shared" si="13"/>
        <v>0.3888888888888889</v>
      </c>
      <c r="H110" s="4">
        <f>(const!$C$4*ruiseki!H109)+ruiseki!D110</f>
        <v>6.7840512108896487</v>
      </c>
      <c r="I110" s="4">
        <f>(const!$D$4*ruiseki!I109)+ruiseki!D110</f>
        <v>39.08686747475177</v>
      </c>
      <c r="J110">
        <f t="shared" si="8"/>
        <v>0</v>
      </c>
      <c r="K110">
        <f t="shared" si="9"/>
        <v>1</v>
      </c>
      <c r="L110" t="str">
        <f t="shared" si="10"/>
        <v>長期注意</v>
      </c>
    </row>
    <row r="111" spans="1:12" x14ac:dyDescent="0.65">
      <c r="A111" s="2">
        <v>46204.763888888891</v>
      </c>
      <c r="B111">
        <v>1090</v>
      </c>
      <c r="C111" s="4">
        <v>0.5</v>
      </c>
      <c r="D111" s="4">
        <f t="shared" si="7"/>
        <v>0.5</v>
      </c>
      <c r="E111" s="4">
        <f t="shared" si="11"/>
        <v>41.5</v>
      </c>
      <c r="F111" s="4">
        <f t="shared" si="12"/>
        <v>0.41666666666666669</v>
      </c>
      <c r="G111" s="4">
        <f t="shared" si="13"/>
        <v>0.3611111111111111</v>
      </c>
      <c r="H111" s="4">
        <f>(const!$C$4*ruiseki!H110)+ruiseki!D111</f>
        <v>6.7811814630246978</v>
      </c>
      <c r="I111" s="4">
        <f>(const!$D$4*ruiseki!I110)+ruiseki!D111</f>
        <v>39.52420259468974</v>
      </c>
      <c r="J111">
        <f t="shared" si="8"/>
        <v>0</v>
      </c>
      <c r="K111">
        <f t="shared" si="9"/>
        <v>1</v>
      </c>
      <c r="L111" t="str">
        <f t="shared" si="10"/>
        <v>長期注意</v>
      </c>
    </row>
    <row r="112" spans="1:12" x14ac:dyDescent="0.65">
      <c r="A112" s="2">
        <v>46204.770833333336</v>
      </c>
      <c r="B112">
        <v>1100</v>
      </c>
      <c r="C112" s="4">
        <v>0</v>
      </c>
      <c r="D112" s="4">
        <f t="shared" si="7"/>
        <v>0</v>
      </c>
      <c r="E112" s="4">
        <f t="shared" si="11"/>
        <v>41.5</v>
      </c>
      <c r="F112" s="4">
        <f t="shared" si="12"/>
        <v>0.33333333333333331</v>
      </c>
      <c r="G112" s="4">
        <f t="shared" si="13"/>
        <v>0.33333333333333331</v>
      </c>
      <c r="H112" s="4">
        <f>(const!$C$4*ruiseki!H111)+ruiseki!D112</f>
        <v>6.2785244360458998</v>
      </c>
      <c r="I112" s="4">
        <f>(const!$D$4*ruiseki!I111)+ruiseki!D112</f>
        <v>39.460836569854322</v>
      </c>
      <c r="J112">
        <f t="shared" si="8"/>
        <v>0</v>
      </c>
      <c r="K112">
        <f t="shared" si="9"/>
        <v>1</v>
      </c>
      <c r="L112" t="str">
        <f t="shared" si="10"/>
        <v>長期注意</v>
      </c>
    </row>
    <row r="113" spans="1:12" x14ac:dyDescent="0.65">
      <c r="A113" s="2">
        <v>46204.777777777781</v>
      </c>
      <c r="B113">
        <v>1110</v>
      </c>
      <c r="C113" s="4">
        <v>0</v>
      </c>
      <c r="D113" s="4">
        <f t="shared" si="7"/>
        <v>0</v>
      </c>
      <c r="E113" s="4">
        <f t="shared" si="11"/>
        <v>41.5</v>
      </c>
      <c r="F113" s="4">
        <f t="shared" si="12"/>
        <v>0.25</v>
      </c>
      <c r="G113" s="4">
        <f t="shared" si="13"/>
        <v>0.33333333333333331</v>
      </c>
      <c r="H113" s="4">
        <f>(const!$C$4*ruiseki!H112)+ruiseki!D113</f>
        <v>5.8131270058127198</v>
      </c>
      <c r="I113" s="4">
        <f>(const!$D$4*ruiseki!I112)+ruiseki!D113</f>
        <v>39.397572134749751</v>
      </c>
      <c r="J113">
        <f t="shared" si="8"/>
        <v>0</v>
      </c>
      <c r="K113">
        <f t="shared" si="9"/>
        <v>1</v>
      </c>
      <c r="L113" t="str">
        <f t="shared" si="10"/>
        <v>長期注意</v>
      </c>
    </row>
    <row r="114" spans="1:12" x14ac:dyDescent="0.65">
      <c r="A114" s="2">
        <v>46204.784722222219</v>
      </c>
      <c r="B114">
        <v>1120</v>
      </c>
      <c r="C114" s="4">
        <v>0</v>
      </c>
      <c r="D114" s="4">
        <f t="shared" si="7"/>
        <v>0</v>
      </c>
      <c r="E114" s="4">
        <f t="shared" si="11"/>
        <v>41.5</v>
      </c>
      <c r="F114" s="4">
        <f t="shared" si="12"/>
        <v>8.3333333333333329E-2</v>
      </c>
      <c r="G114" s="4">
        <f t="shared" si="13"/>
        <v>0.30555555555555558</v>
      </c>
      <c r="H114" s="4">
        <f>(const!$C$4*ruiseki!H113)+ruiseki!D114</f>
        <v>5.3822272939963298</v>
      </c>
      <c r="I114" s="4">
        <f>(const!$D$4*ruiseki!I113)+ruiseki!D114</f>
        <v>39.33440912650525</v>
      </c>
      <c r="J114">
        <f t="shared" si="8"/>
        <v>0</v>
      </c>
      <c r="K114">
        <f t="shared" si="9"/>
        <v>1</v>
      </c>
      <c r="L114" t="str">
        <f t="shared" si="10"/>
        <v>長期注意</v>
      </c>
    </row>
    <row r="115" spans="1:12" x14ac:dyDescent="0.65">
      <c r="A115" s="2">
        <v>46204.791666666664</v>
      </c>
      <c r="B115">
        <v>1130</v>
      </c>
      <c r="C115" s="4">
        <v>0</v>
      </c>
      <c r="D115" s="4">
        <f t="shared" si="7"/>
        <v>0</v>
      </c>
      <c r="E115" s="4">
        <f t="shared" si="11"/>
        <v>41.5</v>
      </c>
      <c r="F115" s="4">
        <f t="shared" si="12"/>
        <v>8.3333333333333329E-2</v>
      </c>
      <c r="G115" s="4">
        <f t="shared" si="13"/>
        <v>0.27777777777777779</v>
      </c>
      <c r="H115" s="4">
        <f>(const!$C$4*ruiseki!H114)+ruiseki!D115</f>
        <v>4.9832681472936535</v>
      </c>
      <c r="I115" s="4">
        <f>(const!$D$4*ruiseki!I114)+ruiseki!D115</f>
        <v>39.271347382511166</v>
      </c>
      <c r="J115">
        <f t="shared" si="8"/>
        <v>0</v>
      </c>
      <c r="K115">
        <f t="shared" si="9"/>
        <v>1</v>
      </c>
      <c r="L115" t="str">
        <f t="shared" si="10"/>
        <v>長期注意</v>
      </c>
    </row>
    <row r="116" spans="1:12" x14ac:dyDescent="0.65">
      <c r="A116" s="2">
        <v>46204.798611111109</v>
      </c>
      <c r="B116">
        <v>1140</v>
      </c>
      <c r="C116" s="4">
        <v>0</v>
      </c>
      <c r="D116" s="4">
        <f t="shared" si="7"/>
        <v>0</v>
      </c>
      <c r="E116" s="4">
        <f t="shared" si="11"/>
        <v>41.5</v>
      </c>
      <c r="F116" s="4">
        <f t="shared" si="12"/>
        <v>8.3333333333333329E-2</v>
      </c>
      <c r="G116" s="4">
        <f t="shared" si="13"/>
        <v>0.25</v>
      </c>
      <c r="H116" s="4">
        <f>(const!$C$4*ruiseki!H115)+ruiseki!D116</f>
        <v>4.6138819621259302</v>
      </c>
      <c r="I116" s="4">
        <f>(const!$D$4*ruiseki!I115)+ruiseki!D116</f>
        <v>39.208386740418547</v>
      </c>
      <c r="J116">
        <f t="shared" si="8"/>
        <v>0</v>
      </c>
      <c r="K116">
        <f t="shared" si="9"/>
        <v>1</v>
      </c>
      <c r="L116" t="str">
        <f t="shared" si="10"/>
        <v>長期注意</v>
      </c>
    </row>
    <row r="117" spans="1:12" x14ac:dyDescent="0.65">
      <c r="A117" s="2">
        <v>46204.805555555555</v>
      </c>
      <c r="B117">
        <v>1150</v>
      </c>
      <c r="C117" s="4">
        <v>0</v>
      </c>
      <c r="D117" s="4">
        <f t="shared" si="7"/>
        <v>0</v>
      </c>
      <c r="E117" s="4">
        <f t="shared" si="11"/>
        <v>41.5</v>
      </c>
      <c r="F117" s="4">
        <f t="shared" si="12"/>
        <v>0</v>
      </c>
      <c r="G117" s="4">
        <f t="shared" si="13"/>
        <v>0.22222222222222221</v>
      </c>
      <c r="H117" s="4">
        <f>(const!$C$4*ruiseki!H116)+ruiseki!D117</f>
        <v>4.2718766342108649</v>
      </c>
      <c r="I117" s="4">
        <f>(const!$D$4*ruiseki!I116)+ruiseki!D117</f>
        <v>39.145527038138717</v>
      </c>
      <c r="J117">
        <f t="shared" si="8"/>
        <v>0</v>
      </c>
      <c r="K117">
        <f t="shared" si="9"/>
        <v>1</v>
      </c>
      <c r="L117" t="str">
        <f t="shared" si="10"/>
        <v>長期注意</v>
      </c>
    </row>
    <row r="118" spans="1:12" x14ac:dyDescent="0.65">
      <c r="A118" s="2">
        <v>46204.8125</v>
      </c>
      <c r="B118">
        <v>1160</v>
      </c>
      <c r="C118" s="4">
        <v>0</v>
      </c>
      <c r="D118" s="4">
        <f t="shared" si="7"/>
        <v>0</v>
      </c>
      <c r="E118" s="4">
        <f t="shared" si="11"/>
        <v>41.5</v>
      </c>
      <c r="F118" s="4">
        <f t="shared" si="12"/>
        <v>0</v>
      </c>
      <c r="G118" s="4">
        <f t="shared" si="13"/>
        <v>0.19444444444444445</v>
      </c>
      <c r="H118" s="4">
        <f>(const!$C$4*ruiseki!H117)+ruiseki!D118</f>
        <v>3.9552225496267832</v>
      </c>
      <c r="I118" s="4">
        <f>(const!$D$4*ruiseki!I117)+ruiseki!D118</f>
        <v>39.08276811384286</v>
      </c>
      <c r="J118">
        <f t="shared" si="8"/>
        <v>0</v>
      </c>
      <c r="K118">
        <f t="shared" si="9"/>
        <v>1</v>
      </c>
      <c r="L118" t="str">
        <f t="shared" si="10"/>
        <v>長期注意</v>
      </c>
    </row>
    <row r="119" spans="1:12" x14ac:dyDescent="0.65">
      <c r="A119" s="2">
        <v>46204.819444444445</v>
      </c>
      <c r="B119">
        <v>1170</v>
      </c>
      <c r="C119" s="4">
        <v>0</v>
      </c>
      <c r="D119" s="4">
        <f t="shared" si="7"/>
        <v>0</v>
      </c>
      <c r="E119" s="4">
        <f t="shared" si="11"/>
        <v>41.5</v>
      </c>
      <c r="F119" s="4">
        <f t="shared" si="12"/>
        <v>0</v>
      </c>
      <c r="G119" s="4">
        <f t="shared" si="13"/>
        <v>0.19444444444444445</v>
      </c>
      <c r="H119" s="4">
        <f>(const!$C$4*ruiseki!H118)+ruiseki!D119</f>
        <v>3.6620405401679013</v>
      </c>
      <c r="I119" s="4">
        <f>(const!$D$4*ruiseki!I118)+ruiseki!D119</f>
        <v>39.020109805961624</v>
      </c>
      <c r="J119">
        <f t="shared" si="8"/>
        <v>0</v>
      </c>
      <c r="K119">
        <f t="shared" si="9"/>
        <v>1</v>
      </c>
      <c r="L119" t="str">
        <f t="shared" si="10"/>
        <v>長期注意</v>
      </c>
    </row>
    <row r="120" spans="1:12" x14ac:dyDescent="0.65">
      <c r="A120" s="2">
        <v>46204.826388888891</v>
      </c>
      <c r="B120">
        <v>1180</v>
      </c>
      <c r="C120" s="4">
        <v>0</v>
      </c>
      <c r="D120" s="4">
        <f t="shared" si="7"/>
        <v>0</v>
      </c>
      <c r="E120" s="4">
        <f t="shared" si="11"/>
        <v>41.5</v>
      </c>
      <c r="F120" s="4">
        <f t="shared" si="12"/>
        <v>0</v>
      </c>
      <c r="G120" s="4">
        <f t="shared" si="13"/>
        <v>0.19444444444444445</v>
      </c>
      <c r="H120" s="4">
        <f>(const!$C$4*ruiseki!H119)+ruiseki!D120</f>
        <v>3.3905907315123494</v>
      </c>
      <c r="I120" s="4">
        <f>(const!$D$4*ruiseki!I119)+ruiseki!D120</f>
        <v>38.957551953184669</v>
      </c>
      <c r="J120">
        <f t="shared" si="8"/>
        <v>0</v>
      </c>
      <c r="K120">
        <f t="shared" si="9"/>
        <v>1</v>
      </c>
      <c r="L120" t="str">
        <f t="shared" si="10"/>
        <v>長期注意</v>
      </c>
    </row>
    <row r="121" spans="1:12" x14ac:dyDescent="0.65">
      <c r="A121" s="2">
        <v>46204.833333333336</v>
      </c>
      <c r="B121">
        <v>1190</v>
      </c>
      <c r="C121" s="4">
        <v>0</v>
      </c>
      <c r="D121" s="4">
        <f t="shared" si="7"/>
        <v>0</v>
      </c>
      <c r="E121" s="4">
        <f t="shared" si="11"/>
        <v>41.5</v>
      </c>
      <c r="F121" s="4">
        <f t="shared" si="12"/>
        <v>0</v>
      </c>
      <c r="G121" s="4">
        <f t="shared" si="13"/>
        <v>0.16666666666666666</v>
      </c>
      <c r="H121" s="4">
        <f>(const!$C$4*ruiseki!H120)+ruiseki!D121</f>
        <v>3.1392622180229504</v>
      </c>
      <c r="I121" s="4">
        <f>(const!$D$4*ruiseki!I120)+ruiseki!D121</f>
        <v>38.89509439446028</v>
      </c>
      <c r="J121">
        <f t="shared" si="8"/>
        <v>0</v>
      </c>
      <c r="K121">
        <f t="shared" si="9"/>
        <v>1</v>
      </c>
      <c r="L121" t="str">
        <f t="shared" si="10"/>
        <v>長期注意</v>
      </c>
    </row>
    <row r="122" spans="1:12" x14ac:dyDescent="0.65">
      <c r="A122" s="2">
        <v>46204.840277777781</v>
      </c>
      <c r="B122">
        <v>1200</v>
      </c>
      <c r="C122" s="4">
        <v>0</v>
      </c>
      <c r="D122" s="4">
        <f t="shared" si="7"/>
        <v>0</v>
      </c>
      <c r="E122" s="4">
        <f t="shared" si="11"/>
        <v>41.5</v>
      </c>
      <c r="F122" s="4">
        <f t="shared" si="12"/>
        <v>0</v>
      </c>
      <c r="G122" s="4">
        <f t="shared" si="13"/>
        <v>0.16666666666666666</v>
      </c>
      <c r="H122" s="4">
        <f>(const!$C$4*ruiseki!H121)+ruiseki!D122</f>
        <v>2.9065635029063603</v>
      </c>
      <c r="I122" s="4">
        <f>(const!$D$4*ruiseki!I121)+ruiseki!D122</f>
        <v>38.832736968994944</v>
      </c>
      <c r="J122">
        <f t="shared" si="8"/>
        <v>0</v>
      </c>
      <c r="K122">
        <f t="shared" si="9"/>
        <v>1</v>
      </c>
      <c r="L122" t="str">
        <f t="shared" si="10"/>
        <v>長期注意</v>
      </c>
    </row>
    <row r="123" spans="1:12" x14ac:dyDescent="0.65">
      <c r="A123" s="2">
        <v>46204.847222222219</v>
      </c>
      <c r="B123">
        <v>1210</v>
      </c>
      <c r="C123" s="4">
        <v>0</v>
      </c>
      <c r="D123" s="4">
        <f t="shared" si="7"/>
        <v>0</v>
      </c>
      <c r="E123" s="4">
        <f t="shared" si="11"/>
        <v>41.5</v>
      </c>
      <c r="F123" s="4">
        <f t="shared" si="12"/>
        <v>0</v>
      </c>
      <c r="G123" s="4">
        <f t="shared" si="13"/>
        <v>0.1388888888888889</v>
      </c>
      <c r="H123" s="4">
        <f>(const!$C$4*ruiseki!H122)+ruiseki!D123</f>
        <v>2.6911136469981654</v>
      </c>
      <c r="I123" s="4">
        <f>(const!$D$4*ruiseki!I122)+ruiseki!D123</f>
        <v>38.770479516252934</v>
      </c>
      <c r="J123">
        <f t="shared" si="8"/>
        <v>0</v>
      </c>
      <c r="K123">
        <f t="shared" si="9"/>
        <v>1</v>
      </c>
      <c r="L123" t="str">
        <f t="shared" si="10"/>
        <v>長期注意</v>
      </c>
    </row>
    <row r="124" spans="1:12" x14ac:dyDescent="0.65">
      <c r="A124" s="2">
        <v>46204.854166666664</v>
      </c>
      <c r="B124">
        <v>1220</v>
      </c>
      <c r="C124" s="4">
        <v>0</v>
      </c>
      <c r="D124" s="4">
        <f t="shared" si="7"/>
        <v>0</v>
      </c>
      <c r="E124" s="4">
        <f t="shared" si="11"/>
        <v>41.5</v>
      </c>
      <c r="F124" s="4">
        <f t="shared" si="12"/>
        <v>0</v>
      </c>
      <c r="G124" s="4">
        <f t="shared" si="13"/>
        <v>0.1111111111111111</v>
      </c>
      <c r="H124" s="4">
        <f>(const!$C$4*ruiseki!H123)+ruiseki!D124</f>
        <v>2.4916340736468272</v>
      </c>
      <c r="I124" s="4">
        <f>(const!$D$4*ruiseki!I123)+ruiseki!D124</f>
        <v>38.708321875955896</v>
      </c>
      <c r="J124">
        <f t="shared" si="8"/>
        <v>0</v>
      </c>
      <c r="K124">
        <f t="shared" si="9"/>
        <v>1</v>
      </c>
      <c r="L124" t="str">
        <f t="shared" si="10"/>
        <v>長期注意</v>
      </c>
    </row>
    <row r="125" spans="1:12" x14ac:dyDescent="0.65">
      <c r="A125" s="2">
        <v>46204.861111111109</v>
      </c>
      <c r="B125">
        <v>1230</v>
      </c>
      <c r="C125" s="4">
        <v>0</v>
      </c>
      <c r="D125" s="4">
        <f t="shared" si="7"/>
        <v>0</v>
      </c>
      <c r="E125" s="4">
        <f t="shared" si="11"/>
        <v>41.5</v>
      </c>
      <c r="F125" s="4">
        <f t="shared" si="12"/>
        <v>0</v>
      </c>
      <c r="G125" s="4">
        <f t="shared" si="13"/>
        <v>8.3333333333333329E-2</v>
      </c>
      <c r="H125" s="4">
        <f>(const!$C$4*ruiseki!H124)+ruiseki!D125</f>
        <v>2.3069409810629655</v>
      </c>
      <c r="I125" s="4">
        <f>(const!$D$4*ruiseki!I124)+ruiseki!D125</f>
        <v>38.646263888082444</v>
      </c>
      <c r="J125">
        <f t="shared" si="8"/>
        <v>0</v>
      </c>
      <c r="K125">
        <f t="shared" si="9"/>
        <v>1</v>
      </c>
      <c r="L125" t="str">
        <f t="shared" si="10"/>
        <v>長期注意</v>
      </c>
    </row>
    <row r="126" spans="1:12" x14ac:dyDescent="0.65">
      <c r="A126" s="2">
        <v>46204.868055555555</v>
      </c>
      <c r="B126">
        <v>1240</v>
      </c>
      <c r="C126" s="4">
        <v>0</v>
      </c>
      <c r="D126" s="4">
        <f t="shared" si="7"/>
        <v>0</v>
      </c>
      <c r="E126" s="4">
        <f t="shared" si="11"/>
        <v>41.5</v>
      </c>
      <c r="F126" s="4">
        <f t="shared" si="12"/>
        <v>0</v>
      </c>
      <c r="G126" s="4">
        <f t="shared" si="13"/>
        <v>2.7777777777777776E-2</v>
      </c>
      <c r="H126" s="4">
        <f>(const!$C$4*ruiseki!H125)+ruiseki!D126</f>
        <v>2.1359383171054329</v>
      </c>
      <c r="I126" s="4">
        <f>(const!$D$4*ruiseki!I125)+ruiseki!D126</f>
        <v>38.584305392867734</v>
      </c>
      <c r="J126">
        <f t="shared" si="8"/>
        <v>0</v>
      </c>
      <c r="K126">
        <f t="shared" si="9"/>
        <v>1</v>
      </c>
      <c r="L126" t="str">
        <f t="shared" si="10"/>
        <v>長期注意</v>
      </c>
    </row>
    <row r="127" spans="1:12" x14ac:dyDescent="0.65">
      <c r="A127" s="2">
        <v>46204.875</v>
      </c>
      <c r="B127">
        <v>1250</v>
      </c>
      <c r="C127" s="4">
        <v>0</v>
      </c>
      <c r="D127" s="4">
        <f t="shared" si="7"/>
        <v>0</v>
      </c>
      <c r="E127" s="4">
        <f t="shared" si="11"/>
        <v>41.5</v>
      </c>
      <c r="F127" s="4">
        <f t="shared" si="12"/>
        <v>0</v>
      </c>
      <c r="G127" s="4">
        <f t="shared" si="13"/>
        <v>2.7777777777777776E-2</v>
      </c>
      <c r="H127" s="4">
        <f>(const!$C$4*ruiseki!H126)+ruiseki!D127</f>
        <v>1.9776112748133921</v>
      </c>
      <c r="I127" s="4">
        <f>(const!$D$4*ruiseki!I126)+ruiseki!D127</f>
        <v>38.522446230803062</v>
      </c>
      <c r="J127">
        <f t="shared" si="8"/>
        <v>0</v>
      </c>
      <c r="K127">
        <f t="shared" si="9"/>
        <v>1</v>
      </c>
      <c r="L127" t="str">
        <f t="shared" si="10"/>
        <v>長期注意</v>
      </c>
    </row>
    <row r="128" spans="1:12" x14ac:dyDescent="0.65">
      <c r="A128" s="2">
        <v>46204.881944444445</v>
      </c>
      <c r="B128">
        <v>1260</v>
      </c>
      <c r="C128" s="4">
        <v>0</v>
      </c>
      <c r="D128" s="4">
        <f t="shared" si="7"/>
        <v>0</v>
      </c>
      <c r="E128" s="4">
        <f t="shared" si="11"/>
        <v>41.5</v>
      </c>
      <c r="F128" s="4">
        <f t="shared" si="12"/>
        <v>0</v>
      </c>
      <c r="G128" s="4">
        <f t="shared" si="13"/>
        <v>2.7777777777777776E-2</v>
      </c>
      <c r="H128" s="4">
        <f>(const!$C$4*ruiseki!H127)+ruiseki!D128</f>
        <v>1.8310202700839511</v>
      </c>
      <c r="I128" s="4">
        <f>(const!$D$4*ruiseki!I127)+ruiseki!D128</f>
        <v>38.460686242635461</v>
      </c>
      <c r="J128">
        <f t="shared" si="8"/>
        <v>0</v>
      </c>
      <c r="K128">
        <f t="shared" si="9"/>
        <v>1</v>
      </c>
      <c r="L128" t="str">
        <f t="shared" si="10"/>
        <v>長期注意</v>
      </c>
    </row>
    <row r="129" spans="1:12" x14ac:dyDescent="0.65">
      <c r="A129" s="2">
        <v>46204.888888888891</v>
      </c>
      <c r="B129">
        <v>1270</v>
      </c>
      <c r="C129" s="4">
        <v>0</v>
      </c>
      <c r="D129" s="4">
        <f t="shared" si="7"/>
        <v>0</v>
      </c>
      <c r="E129" s="4">
        <f t="shared" si="11"/>
        <v>41.5</v>
      </c>
      <c r="F129" s="4">
        <f t="shared" si="12"/>
        <v>0</v>
      </c>
      <c r="G129" s="4">
        <f t="shared" si="13"/>
        <v>0</v>
      </c>
      <c r="H129" s="4">
        <f>(const!$C$4*ruiseki!H128)+ruiseki!D129</f>
        <v>1.6952953657561751</v>
      </c>
      <c r="I129" s="4">
        <f>(const!$D$4*ruiseki!I128)+ruiseki!D129</f>
        <v>38.399025269367264</v>
      </c>
      <c r="J129">
        <f t="shared" si="8"/>
        <v>0</v>
      </c>
      <c r="K129">
        <f t="shared" si="9"/>
        <v>1</v>
      </c>
      <c r="L129" t="str">
        <f t="shared" si="10"/>
        <v>長期注意</v>
      </c>
    </row>
    <row r="130" spans="1:12" x14ac:dyDescent="0.65">
      <c r="A130" s="2">
        <v>46204.895833333336</v>
      </c>
      <c r="B130">
        <v>1280</v>
      </c>
      <c r="C130" s="4">
        <v>0</v>
      </c>
      <c r="D130" s="4">
        <f t="shared" si="7"/>
        <v>0</v>
      </c>
      <c r="E130" s="4">
        <f t="shared" si="11"/>
        <v>41.5</v>
      </c>
      <c r="F130" s="4">
        <f t="shared" si="12"/>
        <v>0</v>
      </c>
      <c r="G130" s="4">
        <f t="shared" si="13"/>
        <v>0</v>
      </c>
      <c r="H130" s="4">
        <f>(const!$C$4*ruiseki!H129)+ruiseki!D130</f>
        <v>1.5696311090114754</v>
      </c>
      <c r="I130" s="4">
        <f>(const!$D$4*ruiseki!I129)+ruiseki!D130</f>
        <v>38.337463152255722</v>
      </c>
      <c r="J130">
        <f t="shared" si="8"/>
        <v>0</v>
      </c>
      <c r="K130">
        <f t="shared" si="9"/>
        <v>1</v>
      </c>
      <c r="L130" t="str">
        <f t="shared" si="10"/>
        <v>長期注意</v>
      </c>
    </row>
    <row r="131" spans="1:12" x14ac:dyDescent="0.65">
      <c r="A131" s="2">
        <v>46204.902777777781</v>
      </c>
      <c r="B131">
        <v>1290</v>
      </c>
      <c r="C131" s="4">
        <v>0</v>
      </c>
      <c r="D131" s="4">
        <f t="shared" ref="D131:D145" si="14">IF(ISNUMBER(C131),C131,0)</f>
        <v>0</v>
      </c>
      <c r="E131" s="4">
        <f t="shared" si="11"/>
        <v>41.5</v>
      </c>
      <c r="F131" s="4">
        <f t="shared" si="12"/>
        <v>0</v>
      </c>
      <c r="G131" s="4">
        <f t="shared" si="13"/>
        <v>0</v>
      </c>
      <c r="H131" s="4">
        <f>(const!$C$4*ruiseki!H130)+ruiseki!D131</f>
        <v>1.4532817514531804</v>
      </c>
      <c r="I131" s="4">
        <f>(const!$D$4*ruiseki!I130)+ruiseki!D131</f>
        <v>38.275999732812593</v>
      </c>
      <c r="J131">
        <f t="shared" ref="J131:J145" si="15">IF(H131&gt;100,1,0)</f>
        <v>0</v>
      </c>
      <c r="K131">
        <f t="shared" ref="K131:K145" si="16">IF(I131&gt;30,1,0)</f>
        <v>1</v>
      </c>
      <c r="L131" t="str">
        <f t="shared" ref="L131:L145" si="17">IF(J131&gt;0,IF(K131&gt;0,"緊急避難","短期注意"),IF(K131&gt;0,"長期注意","なし"))</f>
        <v>長期注意</v>
      </c>
    </row>
    <row r="132" spans="1:12" x14ac:dyDescent="0.65">
      <c r="A132" s="2">
        <v>46204.909722222219</v>
      </c>
      <c r="B132">
        <v>1300</v>
      </c>
      <c r="C132" s="4">
        <v>0</v>
      </c>
      <c r="D132" s="4">
        <f t="shared" si="14"/>
        <v>0</v>
      </c>
      <c r="E132" s="4">
        <f t="shared" ref="E132:E145" si="18">E131+D132</f>
        <v>41.5</v>
      </c>
      <c r="F132" s="4">
        <f t="shared" si="12"/>
        <v>0</v>
      </c>
      <c r="G132" s="4">
        <f t="shared" si="13"/>
        <v>0</v>
      </c>
      <c r="H132" s="4">
        <f>(const!$C$4*ruiseki!H131)+ruiseki!D132</f>
        <v>1.3455568234990829</v>
      </c>
      <c r="I132" s="4">
        <f>(const!$D$4*ruiseki!I131)+ruiseki!D132</f>
        <v>38.214634852803712</v>
      </c>
      <c r="J132">
        <f t="shared" si="15"/>
        <v>0</v>
      </c>
      <c r="K132">
        <f t="shared" si="16"/>
        <v>1</v>
      </c>
      <c r="L132" t="str">
        <f t="shared" si="17"/>
        <v>長期注意</v>
      </c>
    </row>
    <row r="133" spans="1:12" x14ac:dyDescent="0.65">
      <c r="A133" s="2">
        <v>46204.916666666664</v>
      </c>
      <c r="B133">
        <v>1310</v>
      </c>
      <c r="C133" s="4">
        <v>0</v>
      </c>
      <c r="D133" s="4">
        <f t="shared" si="14"/>
        <v>0</v>
      </c>
      <c r="E133" s="4">
        <f t="shared" si="18"/>
        <v>41.5</v>
      </c>
      <c r="F133" s="4">
        <f t="shared" si="12"/>
        <v>0</v>
      </c>
      <c r="G133" s="4">
        <f t="shared" si="13"/>
        <v>0</v>
      </c>
      <c r="H133" s="4">
        <f>(const!$C$4*ruiseki!H132)+ruiseki!D133</f>
        <v>1.2458170368234138</v>
      </c>
      <c r="I133" s="4">
        <f>(const!$D$4*ruiseki!I132)+ruiseki!D133</f>
        <v>38.153368354248613</v>
      </c>
      <c r="J133">
        <f t="shared" si="15"/>
        <v>0</v>
      </c>
      <c r="K133">
        <f t="shared" si="16"/>
        <v>1</v>
      </c>
      <c r="L133" t="str">
        <f t="shared" si="17"/>
        <v>長期注意</v>
      </c>
    </row>
    <row r="134" spans="1:12" x14ac:dyDescent="0.65">
      <c r="A134" s="2">
        <v>46204.923611111109</v>
      </c>
      <c r="B134">
        <v>1320</v>
      </c>
      <c r="C134" s="4">
        <v>0.5</v>
      </c>
      <c r="D134" s="4">
        <f t="shared" si="14"/>
        <v>0.5</v>
      </c>
      <c r="E134" s="4">
        <f t="shared" si="18"/>
        <v>42</v>
      </c>
      <c r="F134" s="4">
        <f t="shared" si="12"/>
        <v>8.3333333333333329E-2</v>
      </c>
      <c r="G134" s="4">
        <f t="shared" si="13"/>
        <v>2.7777777777777776E-2</v>
      </c>
      <c r="H134" s="4">
        <f>(const!$C$4*ruiseki!H133)+ruiseki!D134</f>
        <v>1.653470490531483</v>
      </c>
      <c r="I134" s="4">
        <f>(const!$D$4*ruiseki!I133)+ruiseki!D134</f>
        <v>38.592200079420095</v>
      </c>
      <c r="J134">
        <f t="shared" si="15"/>
        <v>0</v>
      </c>
      <c r="K134">
        <f t="shared" si="16"/>
        <v>1</v>
      </c>
      <c r="L134" t="str">
        <f t="shared" si="17"/>
        <v>長期注意</v>
      </c>
    </row>
    <row r="135" spans="1:12" x14ac:dyDescent="0.65">
      <c r="A135" s="2">
        <v>46204.930555555555</v>
      </c>
      <c r="B135">
        <v>1330</v>
      </c>
      <c r="C135" s="4">
        <v>0</v>
      </c>
      <c r="D135" s="4">
        <f t="shared" si="14"/>
        <v>0</v>
      </c>
      <c r="E135" s="4">
        <f t="shared" si="18"/>
        <v>42</v>
      </c>
      <c r="F135" s="4">
        <f t="shared" si="12"/>
        <v>8.3333333333333329E-2</v>
      </c>
      <c r="G135" s="4">
        <f t="shared" si="13"/>
        <v>2.7777777777777776E-2</v>
      </c>
      <c r="H135" s="4">
        <f>(const!$C$4*ruiseki!H134)+ruiseki!D135</f>
        <v>1.5309065146963619</v>
      </c>
      <c r="I135" s="4">
        <f>(const!$D$4*ruiseki!I134)+ruiseki!D135</f>
        <v>38.530328260429513</v>
      </c>
      <c r="J135">
        <f t="shared" si="15"/>
        <v>0</v>
      </c>
      <c r="K135">
        <f t="shared" si="16"/>
        <v>1</v>
      </c>
      <c r="L135" t="str">
        <f t="shared" si="17"/>
        <v>長期注意</v>
      </c>
    </row>
    <row r="136" spans="1:12" x14ac:dyDescent="0.65">
      <c r="A136" s="2">
        <v>46204.9375</v>
      </c>
      <c r="B136">
        <v>1340</v>
      </c>
      <c r="C136" s="4">
        <v>1</v>
      </c>
      <c r="D136" s="4">
        <f t="shared" si="14"/>
        <v>1</v>
      </c>
      <c r="E136" s="4">
        <f t="shared" si="18"/>
        <v>43</v>
      </c>
      <c r="F136" s="4">
        <f t="shared" si="12"/>
        <v>0.25</v>
      </c>
      <c r="G136" s="4">
        <f t="shared" si="13"/>
        <v>8.3333333333333329E-2</v>
      </c>
      <c r="H136" s="4">
        <f>(const!$C$4*ruiseki!H135)+ruiseki!D136</f>
        <v>2.4174276288332326</v>
      </c>
      <c r="I136" s="4">
        <f>(const!$D$4*ruiseki!I135)+ruiseki!D136</f>
        <v>39.468555635627837</v>
      </c>
      <c r="J136">
        <f t="shared" si="15"/>
        <v>0</v>
      </c>
      <c r="K136">
        <f t="shared" si="16"/>
        <v>1</v>
      </c>
      <c r="L136" t="str">
        <f t="shared" si="17"/>
        <v>長期注意</v>
      </c>
    </row>
    <row r="137" spans="1:12" x14ac:dyDescent="0.65">
      <c r="A137" s="2">
        <v>46204.944444444445</v>
      </c>
      <c r="B137">
        <v>1350</v>
      </c>
      <c r="C137" s="4">
        <v>1</v>
      </c>
      <c r="D137" s="4">
        <f t="shared" si="14"/>
        <v>1</v>
      </c>
      <c r="E137" s="4">
        <f t="shared" si="18"/>
        <v>44</v>
      </c>
      <c r="F137" s="4">
        <f t="shared" ref="F137:F145" si="19">(E137-E131)/6</f>
        <v>0.41666666666666669</v>
      </c>
      <c r="G137" s="4">
        <f t="shared" si="13"/>
        <v>0.1388888888888889</v>
      </c>
      <c r="H137" s="4">
        <f>(const!$C$4*ruiseki!H136)+ruiseki!D137</f>
        <v>3.2382351103213161</v>
      </c>
      <c r="I137" s="4">
        <f>(const!$D$4*ruiseki!I136)+ruiseki!D137</f>
        <v>40.405278825156238</v>
      </c>
      <c r="J137">
        <f t="shared" si="15"/>
        <v>0</v>
      </c>
      <c r="K137">
        <f t="shared" si="16"/>
        <v>1</v>
      </c>
      <c r="L137" t="str">
        <f t="shared" si="17"/>
        <v>長期注意</v>
      </c>
    </row>
    <row r="138" spans="1:12" x14ac:dyDescent="0.65">
      <c r="A138" s="2">
        <v>46204.951388888891</v>
      </c>
      <c r="B138">
        <v>1360</v>
      </c>
      <c r="C138" s="4">
        <v>0</v>
      </c>
      <c r="D138" s="4">
        <f t="shared" si="14"/>
        <v>0</v>
      </c>
      <c r="E138" s="4">
        <f t="shared" si="18"/>
        <v>44</v>
      </c>
      <c r="F138" s="4">
        <f t="shared" si="19"/>
        <v>0.41666666666666669</v>
      </c>
      <c r="G138" s="4">
        <f t="shared" si="13"/>
        <v>0.1388888888888889</v>
      </c>
      <c r="H138" s="4">
        <f>(const!$C$4*ruiseki!H137)+ruiseki!D138</f>
        <v>2.9982000010873509</v>
      </c>
      <c r="I138" s="4">
        <f>(const!$D$4*ruiseki!I137)+ruiseki!D138</f>
        <v>40.340500240556516</v>
      </c>
      <c r="J138">
        <f t="shared" si="15"/>
        <v>0</v>
      </c>
      <c r="K138">
        <f t="shared" si="16"/>
        <v>1</v>
      </c>
      <c r="L138" t="str">
        <f t="shared" si="17"/>
        <v>長期注意</v>
      </c>
    </row>
    <row r="139" spans="1:12" x14ac:dyDescent="0.65">
      <c r="A139" s="2">
        <v>46204.958333333336</v>
      </c>
      <c r="B139">
        <v>1370</v>
      </c>
      <c r="C139" s="4">
        <v>0.5</v>
      </c>
      <c r="D139" s="4">
        <f t="shared" si="14"/>
        <v>0.5</v>
      </c>
      <c r="E139" s="4">
        <f t="shared" si="18"/>
        <v>44.5</v>
      </c>
      <c r="F139" s="4">
        <f t="shared" si="19"/>
        <v>0.5</v>
      </c>
      <c r="G139" s="4">
        <f t="shared" si="13"/>
        <v>0.16666666666666666</v>
      </c>
      <c r="H139" s="4">
        <f>(const!$C$4*ruiseki!H138)+ruiseki!D139</f>
        <v>3.275957563386505</v>
      </c>
      <c r="I139" s="4">
        <f>(const!$D$4*ruiseki!I138)+ruiseki!D139</f>
        <v>40.775825510332872</v>
      </c>
      <c r="J139">
        <f t="shared" si="15"/>
        <v>0</v>
      </c>
      <c r="K139">
        <f t="shared" si="16"/>
        <v>1</v>
      </c>
      <c r="L139" t="str">
        <f t="shared" si="17"/>
        <v>長期注意</v>
      </c>
    </row>
    <row r="140" spans="1:12" x14ac:dyDescent="0.65">
      <c r="A140" s="2">
        <v>46204.965277777781</v>
      </c>
      <c r="B140">
        <v>1380</v>
      </c>
      <c r="C140" s="4">
        <v>0</v>
      </c>
      <c r="D140" s="4">
        <f t="shared" si="14"/>
        <v>0</v>
      </c>
      <c r="E140" s="4">
        <f t="shared" si="18"/>
        <v>44.5</v>
      </c>
      <c r="F140" s="4">
        <f t="shared" si="19"/>
        <v>0.41666666666666669</v>
      </c>
      <c r="G140" s="4">
        <f t="shared" si="13"/>
        <v>0.16666666666666666</v>
      </c>
      <c r="H140" s="4">
        <f>(const!$C$4*ruiseki!H139)+ruiseki!D140</f>
        <v>3.0331262664658536</v>
      </c>
      <c r="I140" s="4">
        <f>(const!$D$4*ruiseki!I139)+ruiseki!D140</f>
        <v>40.710452857569486</v>
      </c>
      <c r="J140">
        <f t="shared" si="15"/>
        <v>0</v>
      </c>
      <c r="K140">
        <f t="shared" si="16"/>
        <v>1</v>
      </c>
      <c r="L140" t="str">
        <f t="shared" si="17"/>
        <v>長期注意</v>
      </c>
    </row>
    <row r="141" spans="1:12" x14ac:dyDescent="0.65">
      <c r="A141" s="2">
        <v>46204.972222222219</v>
      </c>
      <c r="B141">
        <v>1390</v>
      </c>
      <c r="C141" s="4">
        <v>0</v>
      </c>
      <c r="D141" s="4">
        <f t="shared" si="14"/>
        <v>0</v>
      </c>
      <c r="E141" s="4">
        <f t="shared" si="18"/>
        <v>44.5</v>
      </c>
      <c r="F141" s="4">
        <f t="shared" si="19"/>
        <v>0.41666666666666669</v>
      </c>
      <c r="G141" s="4">
        <f t="shared" si="13"/>
        <v>0.16666666666666666</v>
      </c>
      <c r="H141" s="4">
        <f>(const!$C$4*ruiseki!H140)+ruiseki!D141</f>
        <v>2.8082949092950957</v>
      </c>
      <c r="I141" s="4">
        <f>(const!$D$4*ruiseki!I140)+ruiseki!D141</f>
        <v>40.645185011604632</v>
      </c>
      <c r="J141">
        <f t="shared" si="15"/>
        <v>0</v>
      </c>
      <c r="K141">
        <f t="shared" si="16"/>
        <v>1</v>
      </c>
      <c r="L141" t="str">
        <f t="shared" si="17"/>
        <v>長期注意</v>
      </c>
    </row>
    <row r="142" spans="1:12" x14ac:dyDescent="0.65">
      <c r="A142" s="2">
        <v>46204.979166666664</v>
      </c>
      <c r="B142">
        <v>1400</v>
      </c>
      <c r="C142" s="4">
        <v>0</v>
      </c>
      <c r="D142" s="4">
        <f t="shared" si="14"/>
        <v>0</v>
      </c>
      <c r="E142" s="4">
        <f t="shared" si="18"/>
        <v>44.5</v>
      </c>
      <c r="F142" s="4">
        <f t="shared" si="19"/>
        <v>0.25</v>
      </c>
      <c r="G142" s="4">
        <f t="shared" si="13"/>
        <v>0.16666666666666666</v>
      </c>
      <c r="H142" s="4">
        <f>(const!$C$4*ruiseki!H141)+ruiseki!D142</f>
        <v>2.6001292411614592</v>
      </c>
      <c r="I142" s="4">
        <f>(const!$D$4*ruiseki!I141)+ruiseki!D142</f>
        <v>40.580021804409874</v>
      </c>
      <c r="J142">
        <f t="shared" si="15"/>
        <v>0</v>
      </c>
      <c r="K142">
        <f t="shared" si="16"/>
        <v>1</v>
      </c>
      <c r="L142" t="str">
        <f t="shared" si="17"/>
        <v>長期注意</v>
      </c>
    </row>
    <row r="143" spans="1:12" x14ac:dyDescent="0.65">
      <c r="A143" s="2">
        <v>46204.986111111109</v>
      </c>
      <c r="B143">
        <v>1410</v>
      </c>
      <c r="C143" s="4">
        <v>0.5</v>
      </c>
      <c r="D143" s="4">
        <f t="shared" si="14"/>
        <v>0.5</v>
      </c>
      <c r="E143" s="4">
        <f t="shared" si="18"/>
        <v>45</v>
      </c>
      <c r="F143" s="4">
        <f t="shared" si="19"/>
        <v>0.16666666666666666</v>
      </c>
      <c r="G143" s="4">
        <f t="shared" si="13"/>
        <v>0.19444444444444445</v>
      </c>
      <c r="H143" s="4">
        <f>(const!$C$4*ruiseki!H142)+ruiseki!D143</f>
        <v>2.9073939130701367</v>
      </c>
      <c r="I143" s="4">
        <f>(const!$D$4*ruiseki!I142)+ruiseki!D143</f>
        <v>41.014963068226152</v>
      </c>
      <c r="J143">
        <f t="shared" si="15"/>
        <v>0</v>
      </c>
      <c r="K143">
        <f t="shared" si="16"/>
        <v>1</v>
      </c>
      <c r="L143" t="str">
        <f t="shared" si="17"/>
        <v>長期注意</v>
      </c>
    </row>
    <row r="144" spans="1:12" x14ac:dyDescent="0.65">
      <c r="A144" s="2">
        <v>46204.993055555555</v>
      </c>
      <c r="B144">
        <v>1420</v>
      </c>
      <c r="C144" s="4">
        <v>0</v>
      </c>
      <c r="D144" s="4">
        <f t="shared" si="14"/>
        <v>0</v>
      </c>
      <c r="E144" s="4">
        <f t="shared" si="18"/>
        <v>45</v>
      </c>
      <c r="F144" s="4">
        <f t="shared" si="19"/>
        <v>0.16666666666666666</v>
      </c>
      <c r="G144" s="4">
        <f t="shared" si="13"/>
        <v>0.19444444444444445</v>
      </c>
      <c r="H144" s="4">
        <f>(const!$C$4*ruiseki!H143)+ruiseki!D144</f>
        <v>2.6918825027696323</v>
      </c>
      <c r="I144" s="4">
        <f>(const!$D$4*ruiseki!I143)+ruiseki!D144</f>
        <v>40.949207025149043</v>
      </c>
      <c r="J144">
        <f t="shared" si="15"/>
        <v>0</v>
      </c>
      <c r="K144">
        <f t="shared" si="16"/>
        <v>1</v>
      </c>
      <c r="L144" t="str">
        <f t="shared" si="17"/>
        <v>長期注意</v>
      </c>
    </row>
    <row r="145" spans="1:12" x14ac:dyDescent="0.65">
      <c r="A145" s="2">
        <v>46205</v>
      </c>
      <c r="B145">
        <v>1430</v>
      </c>
      <c r="C145" s="4">
        <v>0.5</v>
      </c>
      <c r="D145" s="4">
        <f t="shared" si="14"/>
        <v>0.5</v>
      </c>
      <c r="E145" s="4">
        <f t="shared" si="18"/>
        <v>45.5</v>
      </c>
      <c r="F145" s="4">
        <f t="shared" si="19"/>
        <v>0.16666666666666666</v>
      </c>
      <c r="G145" s="4">
        <f t="shared" si="13"/>
        <v>0.22222222222222221</v>
      </c>
      <c r="H145" s="4">
        <f>(const!$C$4*ruiseki!H144)+ruiseki!D145</f>
        <v>2.9923459377630248</v>
      </c>
      <c r="I145" s="4">
        <f>(const!$D$4*ruiseki!I144)+ruiseki!D145</f>
        <v>41.383556403529802</v>
      </c>
      <c r="J145">
        <f t="shared" si="15"/>
        <v>0</v>
      </c>
      <c r="K145">
        <f t="shared" si="16"/>
        <v>1</v>
      </c>
      <c r="L145" t="str">
        <f t="shared" si="17"/>
        <v>長期注意</v>
      </c>
    </row>
    <row r="146" spans="1:12" hidden="1" x14ac:dyDescent="0.65">
      <c r="A146" s="2"/>
    </row>
    <row r="147" spans="1:12" hidden="1" x14ac:dyDescent="0.65">
      <c r="A147" s="2"/>
    </row>
    <row r="148" spans="1:12" hidden="1" x14ac:dyDescent="0.65">
      <c r="A148" s="2"/>
    </row>
    <row r="149" spans="1:12" hidden="1" x14ac:dyDescent="0.65">
      <c r="A149" s="2"/>
    </row>
    <row r="150" spans="1:12" hidden="1" x14ac:dyDescent="0.65">
      <c r="A150" s="2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8920B-E596-4650-85D1-96D589B8FD15}">
  <dimension ref="A1:AL9"/>
  <sheetViews>
    <sheetView topLeftCell="C1" workbookViewId="0">
      <selection activeCell="AL4" sqref="C4:AL4"/>
    </sheetView>
  </sheetViews>
  <sheetFormatPr defaultRowHeight="18.45" x14ac:dyDescent="0.65"/>
  <cols>
    <col min="1" max="2" width="0" hidden="1" customWidth="1"/>
  </cols>
  <sheetData>
    <row r="1" spans="1:38" s="9" customFormat="1" ht="11.25" customHeight="1" x14ac:dyDescent="0.2">
      <c r="A1" s="5" t="s">
        <v>24</v>
      </c>
      <c r="B1" s="6" t="s">
        <v>25</v>
      </c>
      <c r="C1" s="7">
        <v>0</v>
      </c>
      <c r="D1" s="7">
        <v>0</v>
      </c>
      <c r="E1" s="7">
        <v>0</v>
      </c>
      <c r="F1" s="7">
        <v>0</v>
      </c>
      <c r="G1" s="7">
        <v>0</v>
      </c>
      <c r="H1" s="7">
        <v>0</v>
      </c>
      <c r="I1" s="7">
        <v>0</v>
      </c>
      <c r="J1" s="7">
        <v>0</v>
      </c>
      <c r="K1" s="7">
        <v>0</v>
      </c>
      <c r="L1" s="7">
        <v>0</v>
      </c>
      <c r="M1" s="7">
        <v>0</v>
      </c>
      <c r="N1" s="7">
        <v>0</v>
      </c>
      <c r="O1" s="7">
        <v>0</v>
      </c>
      <c r="P1" s="7">
        <v>0</v>
      </c>
      <c r="Q1" s="7">
        <v>0</v>
      </c>
      <c r="R1" s="7">
        <v>0</v>
      </c>
      <c r="S1" s="7">
        <v>0</v>
      </c>
      <c r="T1" s="7">
        <v>0</v>
      </c>
      <c r="U1" s="7">
        <v>0</v>
      </c>
      <c r="V1" s="7">
        <v>0</v>
      </c>
      <c r="W1" s="7">
        <v>0</v>
      </c>
      <c r="X1" s="7">
        <v>0</v>
      </c>
      <c r="Y1" s="7">
        <v>0</v>
      </c>
      <c r="Z1" s="7">
        <v>0</v>
      </c>
      <c r="AA1" s="7">
        <v>0</v>
      </c>
      <c r="AB1" s="7">
        <v>0</v>
      </c>
      <c r="AC1" s="7">
        <v>0</v>
      </c>
      <c r="AD1" s="7">
        <v>0</v>
      </c>
      <c r="AE1" s="7">
        <v>0</v>
      </c>
      <c r="AF1" s="7">
        <v>0</v>
      </c>
      <c r="AG1" s="7">
        <v>0</v>
      </c>
      <c r="AH1" s="7">
        <v>0</v>
      </c>
      <c r="AI1" s="7">
        <v>0</v>
      </c>
      <c r="AJ1" s="7">
        <v>0</v>
      </c>
      <c r="AK1" s="7">
        <v>0</v>
      </c>
      <c r="AL1" s="8">
        <v>0</v>
      </c>
    </row>
    <row r="2" spans="1:38" s="9" customFormat="1" ht="11.25" customHeight="1" x14ac:dyDescent="0.2">
      <c r="A2" s="5" t="s">
        <v>24</v>
      </c>
      <c r="B2" s="6" t="s">
        <v>25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0.5</v>
      </c>
      <c r="Y2" s="7">
        <v>1</v>
      </c>
      <c r="Z2" s="7">
        <v>1</v>
      </c>
      <c r="AA2" s="7">
        <v>1.5</v>
      </c>
      <c r="AB2" s="7">
        <v>2</v>
      </c>
      <c r="AC2" s="7">
        <v>1</v>
      </c>
      <c r="AD2" s="7">
        <v>1</v>
      </c>
      <c r="AE2" s="7">
        <v>1</v>
      </c>
      <c r="AF2" s="7">
        <v>0.5</v>
      </c>
      <c r="AG2" s="7">
        <v>0.5</v>
      </c>
      <c r="AH2" s="7">
        <v>0</v>
      </c>
      <c r="AI2" s="7">
        <v>0.5</v>
      </c>
      <c r="AJ2" s="7">
        <v>1</v>
      </c>
      <c r="AK2" s="7">
        <v>0.5</v>
      </c>
      <c r="AL2" s="8">
        <v>0</v>
      </c>
    </row>
    <row r="3" spans="1:38" s="9" customFormat="1" ht="11.25" customHeight="1" x14ac:dyDescent="0.2">
      <c r="A3" s="5" t="s">
        <v>24</v>
      </c>
      <c r="B3" s="6" t="s">
        <v>25</v>
      </c>
      <c r="C3" s="7">
        <v>0.5</v>
      </c>
      <c r="D3" s="7">
        <v>0.5</v>
      </c>
      <c r="E3" s="7">
        <v>1</v>
      </c>
      <c r="F3" s="7">
        <v>1</v>
      </c>
      <c r="G3" s="7">
        <v>2.5</v>
      </c>
      <c r="H3" s="7">
        <v>4</v>
      </c>
      <c r="I3" s="7">
        <v>1.5</v>
      </c>
      <c r="J3" s="7">
        <v>0.5</v>
      </c>
      <c r="K3" s="7">
        <v>1</v>
      </c>
      <c r="L3" s="7">
        <v>0.5</v>
      </c>
      <c r="M3" s="7">
        <v>1.5</v>
      </c>
      <c r="N3" s="7">
        <v>1</v>
      </c>
      <c r="O3" s="7">
        <v>2</v>
      </c>
      <c r="P3" s="7">
        <v>1</v>
      </c>
      <c r="Q3" s="7">
        <v>1</v>
      </c>
      <c r="R3" s="7">
        <v>1</v>
      </c>
      <c r="S3" s="7">
        <v>0.5</v>
      </c>
      <c r="T3" s="7">
        <v>0.5</v>
      </c>
      <c r="U3" s="7">
        <v>0.5</v>
      </c>
      <c r="V3" s="7">
        <v>1</v>
      </c>
      <c r="W3" s="7">
        <v>0.5</v>
      </c>
      <c r="X3" s="7">
        <v>0</v>
      </c>
      <c r="Y3" s="7">
        <v>0.5</v>
      </c>
      <c r="Z3" s="7">
        <v>0.5</v>
      </c>
      <c r="AA3" s="7">
        <v>0.5</v>
      </c>
      <c r="AB3" s="7">
        <v>0.5</v>
      </c>
      <c r="AC3" s="7">
        <v>0.5</v>
      </c>
      <c r="AD3" s="7">
        <v>0</v>
      </c>
      <c r="AE3" s="7">
        <v>0</v>
      </c>
      <c r="AF3" s="7">
        <v>0.5</v>
      </c>
      <c r="AG3" s="7">
        <v>0</v>
      </c>
      <c r="AH3" s="7">
        <v>0.5</v>
      </c>
      <c r="AI3" s="7">
        <v>0.5</v>
      </c>
      <c r="AJ3" s="7">
        <v>0.5</v>
      </c>
      <c r="AK3" s="7">
        <v>1</v>
      </c>
      <c r="AL3" s="8">
        <v>0</v>
      </c>
    </row>
    <row r="4" spans="1:38" s="9" customFormat="1" ht="11.25" customHeight="1" x14ac:dyDescent="0.2">
      <c r="A4" s="5" t="s">
        <v>24</v>
      </c>
      <c r="B4" s="6" t="s">
        <v>25</v>
      </c>
      <c r="C4" s="7">
        <v>0</v>
      </c>
      <c r="D4" s="7">
        <v>0.5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0.5</v>
      </c>
      <c r="AB4" s="7">
        <v>0</v>
      </c>
      <c r="AC4" s="7">
        <v>1</v>
      </c>
      <c r="AD4" s="7">
        <v>1</v>
      </c>
      <c r="AE4" s="7">
        <v>0</v>
      </c>
      <c r="AF4" s="7">
        <v>0.5</v>
      </c>
      <c r="AG4" s="7">
        <v>0</v>
      </c>
      <c r="AH4" s="7">
        <v>0</v>
      </c>
      <c r="AI4" s="7">
        <v>0</v>
      </c>
      <c r="AJ4" s="7">
        <v>0.5</v>
      </c>
      <c r="AK4" s="7">
        <v>0</v>
      </c>
      <c r="AL4" s="8">
        <v>0.5</v>
      </c>
    </row>
    <row r="6" spans="1:38" s="9" customFormat="1" ht="11.25" customHeight="1" x14ac:dyDescent="0.2">
      <c r="A6" s="5" t="s">
        <v>26</v>
      </c>
      <c r="B6" s="6" t="s">
        <v>25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8">
        <v>0</v>
      </c>
    </row>
    <row r="7" spans="1:38" s="9" customFormat="1" ht="11.25" customHeight="1" x14ac:dyDescent="0.2">
      <c r="A7" s="5" t="s">
        <v>26</v>
      </c>
      <c r="B7" s="6" t="s">
        <v>25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1</v>
      </c>
      <c r="Z7" s="7">
        <v>0</v>
      </c>
      <c r="AA7" s="7">
        <v>2</v>
      </c>
      <c r="AB7" s="7">
        <v>1</v>
      </c>
      <c r="AC7" s="7">
        <v>1</v>
      </c>
      <c r="AD7" s="7">
        <v>1</v>
      </c>
      <c r="AE7" s="7">
        <v>1</v>
      </c>
      <c r="AF7" s="7">
        <v>1</v>
      </c>
      <c r="AG7" s="7">
        <v>0</v>
      </c>
      <c r="AH7" s="7">
        <v>1</v>
      </c>
      <c r="AI7" s="7">
        <v>0</v>
      </c>
      <c r="AJ7" s="7">
        <v>1</v>
      </c>
      <c r="AK7" s="7">
        <v>0</v>
      </c>
      <c r="AL7" s="8">
        <v>1</v>
      </c>
    </row>
    <row r="8" spans="1:38" s="9" customFormat="1" ht="11.25" customHeight="1" x14ac:dyDescent="0.2">
      <c r="A8" s="5" t="s">
        <v>26</v>
      </c>
      <c r="B8" s="6" t="s">
        <v>25</v>
      </c>
      <c r="C8" s="7">
        <v>0</v>
      </c>
      <c r="D8" s="7">
        <v>0</v>
      </c>
      <c r="E8" s="7">
        <v>1</v>
      </c>
      <c r="F8" s="7" t="s">
        <v>27</v>
      </c>
      <c r="G8" s="7" t="s">
        <v>27</v>
      </c>
      <c r="H8" s="7" t="s">
        <v>27</v>
      </c>
      <c r="I8" s="7" t="s">
        <v>27</v>
      </c>
      <c r="J8" s="7" t="s">
        <v>27</v>
      </c>
      <c r="K8" s="7" t="s">
        <v>27</v>
      </c>
      <c r="L8" s="7" t="s">
        <v>27</v>
      </c>
      <c r="M8" s="7">
        <v>1</v>
      </c>
      <c r="N8" s="7">
        <v>1</v>
      </c>
      <c r="O8" s="7">
        <v>2</v>
      </c>
      <c r="P8" s="7">
        <v>0</v>
      </c>
      <c r="Q8" s="7">
        <v>2</v>
      </c>
      <c r="R8" s="7" t="s">
        <v>27</v>
      </c>
      <c r="S8" s="7" t="s">
        <v>27</v>
      </c>
      <c r="T8" s="7" t="s">
        <v>27</v>
      </c>
      <c r="U8" s="7" t="s">
        <v>27</v>
      </c>
      <c r="V8" s="7">
        <v>1</v>
      </c>
      <c r="W8" s="7">
        <v>0</v>
      </c>
      <c r="X8" s="7">
        <v>1</v>
      </c>
      <c r="Y8" s="7">
        <v>1</v>
      </c>
      <c r="Z8" s="7" t="s">
        <v>27</v>
      </c>
      <c r="AA8" s="7" t="s">
        <v>27</v>
      </c>
      <c r="AB8" s="7">
        <v>1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1</v>
      </c>
      <c r="AI8" s="7">
        <v>0</v>
      </c>
      <c r="AJ8" s="7">
        <v>0</v>
      </c>
      <c r="AK8" s="7">
        <v>1</v>
      </c>
      <c r="AL8" s="8">
        <v>0</v>
      </c>
    </row>
    <row r="9" spans="1:38" s="9" customFormat="1" ht="11.25" customHeight="1" x14ac:dyDescent="0.2">
      <c r="A9" s="5" t="s">
        <v>26</v>
      </c>
      <c r="B9" s="6" t="s">
        <v>25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1</v>
      </c>
      <c r="AD9" s="7">
        <v>1</v>
      </c>
      <c r="AE9" s="7">
        <v>0</v>
      </c>
      <c r="AF9" s="7">
        <v>0</v>
      </c>
      <c r="AG9" s="7">
        <v>1</v>
      </c>
      <c r="AH9" s="7">
        <v>1</v>
      </c>
      <c r="AI9" s="7">
        <v>1</v>
      </c>
      <c r="AJ9" s="7">
        <v>0</v>
      </c>
      <c r="AK9" s="7">
        <v>0</v>
      </c>
      <c r="AL9" s="8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B470F-1DD5-4AE5-92BC-E09924042256}">
  <dimension ref="A1:D14"/>
  <sheetViews>
    <sheetView workbookViewId="0">
      <selection activeCell="B15" sqref="B15"/>
    </sheetView>
  </sheetViews>
  <sheetFormatPr defaultRowHeight="18.45" x14ac:dyDescent="0.65"/>
  <cols>
    <col min="1" max="1" width="14.5" customWidth="1"/>
  </cols>
  <sheetData>
    <row r="1" spans="1:4" x14ac:dyDescent="0.65">
      <c r="A1" t="s">
        <v>0</v>
      </c>
      <c r="B1">
        <v>1</v>
      </c>
      <c r="C1">
        <v>1.5</v>
      </c>
      <c r="D1">
        <v>72</v>
      </c>
    </row>
    <row r="2" spans="1:4" x14ac:dyDescent="0.65">
      <c r="A2" t="s">
        <v>1</v>
      </c>
      <c r="B2">
        <v>0.5</v>
      </c>
      <c r="C2">
        <v>0.6299605249474366</v>
      </c>
      <c r="D2">
        <v>0.99041914746682624</v>
      </c>
    </row>
    <row r="3" spans="1:4" x14ac:dyDescent="0.65">
      <c r="A3" t="s">
        <v>2</v>
      </c>
      <c r="B3">
        <v>0.25</v>
      </c>
      <c r="C3">
        <v>0.3968502629920499</v>
      </c>
      <c r="D3">
        <v>0.98093008766891499</v>
      </c>
    </row>
    <row r="4" spans="1:4" x14ac:dyDescent="0.65">
      <c r="A4" t="s">
        <v>3</v>
      </c>
      <c r="B4">
        <v>0.89089871814033927</v>
      </c>
      <c r="C4">
        <v>0.92587471228729046</v>
      </c>
      <c r="D4">
        <v>0.99839677917135439</v>
      </c>
    </row>
    <row r="6" spans="1:4" x14ac:dyDescent="0.65">
      <c r="A6" t="s">
        <v>3</v>
      </c>
      <c r="B6">
        <v>0.89089871814033927</v>
      </c>
      <c r="C6">
        <v>0.92587471228729046</v>
      </c>
      <c r="D6">
        <v>0.99839677917135439</v>
      </c>
    </row>
    <row r="7" spans="1:4" x14ac:dyDescent="0.65">
      <c r="A7" t="s">
        <v>4</v>
      </c>
      <c r="B7">
        <v>0.79370052598409968</v>
      </c>
      <c r="C7">
        <v>0.85724398285307291</v>
      </c>
      <c r="D7">
        <v>0.99679612865973422</v>
      </c>
    </row>
    <row r="8" spans="1:4" x14ac:dyDescent="0.65">
      <c r="A8" t="s">
        <v>5</v>
      </c>
      <c r="B8">
        <v>0.70710678118654746</v>
      </c>
      <c r="C8">
        <v>0.79370052598409979</v>
      </c>
      <c r="D8">
        <v>0.99519804434435366</v>
      </c>
    </row>
    <row r="9" spans="1:4" x14ac:dyDescent="0.65">
      <c r="A9" t="s">
        <v>6</v>
      </c>
      <c r="B9">
        <v>0.62996052494743648</v>
      </c>
      <c r="C9">
        <v>0.73486724613779952</v>
      </c>
      <c r="D9">
        <v>0.99360252211103339</v>
      </c>
    </row>
    <row r="10" spans="1:4" x14ac:dyDescent="0.65">
      <c r="A10" t="s">
        <v>7</v>
      </c>
      <c r="B10">
        <v>0.5612310241546864</v>
      </c>
      <c r="C10">
        <v>0.68039500008718856</v>
      </c>
      <c r="D10">
        <v>0.99200955785219014</v>
      </c>
    </row>
    <row r="11" spans="1:4" x14ac:dyDescent="0.65">
      <c r="A11" t="s">
        <v>8</v>
      </c>
      <c r="B11">
        <v>0.49999999999999989</v>
      </c>
      <c r="C11">
        <v>0.62996052494743671</v>
      </c>
      <c r="D11">
        <v>0.99041914746682602</v>
      </c>
    </row>
    <row r="12" spans="1:4" x14ac:dyDescent="0.65">
      <c r="A12" t="s">
        <v>9</v>
      </c>
      <c r="C12">
        <v>0.58326451978805838</v>
      </c>
      <c r="D12">
        <v>0.9888312868605178</v>
      </c>
    </row>
    <row r="13" spans="1:4" x14ac:dyDescent="0.65">
      <c r="A13" t="s">
        <v>10</v>
      </c>
      <c r="C13">
        <v>0.54002986944615317</v>
      </c>
      <c r="D13">
        <v>0.98724597194540653</v>
      </c>
    </row>
    <row r="14" spans="1:4" x14ac:dyDescent="0.65">
      <c r="A14" t="s">
        <v>11</v>
      </c>
      <c r="C14">
        <v>0.50000000000000011</v>
      </c>
      <c r="D14">
        <v>0.98566319864018714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ruiseki</vt:lpstr>
      <vt:lpstr>tmp</vt:lpstr>
      <vt:lpstr>const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 toshiya</dc:creator>
  <cp:lastModifiedBy>suzuki toshiya</cp:lastModifiedBy>
  <dcterms:created xsi:type="dcterms:W3CDTF">2026-07-07T07:39:11Z</dcterms:created>
  <dcterms:modified xsi:type="dcterms:W3CDTF">2026-07-10T10:55:52Z</dcterms:modified>
</cp:coreProperties>
</file>